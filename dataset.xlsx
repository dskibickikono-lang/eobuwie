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zygnacje" sheetId="1" r:id="rId5"/>
    <sheet state="visible" name="Frekwencja" sheetId="2" r:id="rId6"/>
    <sheet state="visible" name="Wykonanie planów" sheetId="3" r:id="rId7"/>
    <sheet state="visible" name="Wydajności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tc={c758063c-67b3-4488-a568-a42c60f2c0d0}</author>
  </authors>
  <commentList>
    <comment authorId="0" xr:uid="{c758063c-67b3-4488-a568-a42c60f2c0d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41 stan (03.05) + 34 (wejścia 04.05-08.05) = 75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tc={7a616717-5f4f-4a1c-bb91-db7da028fb24}</author>
    <author>tc={c7eb7450-e215-4e9a-87dd-1abb7c351fe2}</author>
    <author>tc={cd06866c-2837-45a4-a33f-15e3aac1313e}</author>
  </authors>
  <commentList>
    <comment authorId="0" xr:uid="{7a616717-5f4f-4a1c-bb91-db7da028fb24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nie weszli:
ROSTUPNIAK NADIIA
BIELOVA VIKTORIIA
PENDZEI DMYTRO
PISKAREVA HALYNA
NUSHABE BORDIA
</t>
      </text>
    </comment>
    <comment authorId="1" xr:uid="{c7eb7450-e215-4e9a-87dd-1abb7c351fe2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nie weszli: 
MAZUR MARIUSZ
</t>
      </text>
    </comment>
    <comment authorId="2" xr:uid="{cd06866c-2837-45a4-a33f-15e3aac1313e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DIADYCHKO VALENTYNA- nie weszła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tc={0293c627-34f4-49a3-89b7-36481a568419}</author>
    <author>tc={02cbd454-bb32-47d2-82cf-21557dcccae3}</author>
    <author>tc={1097d44f-dc7d-4edb-adbb-87f21c6d2763}</author>
    <author>tc={1cb980a4-5366-44cf-99b3-fc771df0155b}</author>
    <author>tc={225f510c-ddbf-41af-a166-35f2ef3463f6}</author>
    <author>tc={23f70c5e-e031-4c14-b058-79f3afa5366f}</author>
    <author>tc={2d58538f-eeb9-45cd-83ad-8dbc38e1a685}</author>
    <author>tc={2f42c6a2-f923-425b-8288-075dc61a0382}</author>
    <author>tc={343cf5f6-82e5-4ccd-ada5-eff980e78721}</author>
    <author>tc={3bf4c362-df85-4b87-a17c-d6ca8e2cb4b7}</author>
    <author>tc={3fa1fbd5-b867-436a-982c-2e5fbce49c28}</author>
    <author>tc={49b2381c-f5f0-4ab4-ac18-87254634b1c2}</author>
    <author>tc={6467e514-31ea-4f55-9743-dc67e3f02e7c}</author>
    <author>tc={6d4d8114-a21f-470c-9afc-77d6cb85af42}</author>
    <author>tc={70e1bebd-780e-4f15-93c1-301b99d3693f}</author>
    <author>tc={7ad765f9-dc7d-4f1b-8d99-78cc9f9702d2}</author>
    <author>tc={8bd415c8-1cc5-45c5-bb77-fee90229fc91}</author>
    <author>tc={90bf171c-aa7e-4df6-84b5-30af21f67d01}</author>
    <author>tc={96ba7fd4-7634-4d14-9f6f-a9b5e412b974}</author>
    <author>tc={99835bd9-71fe-4b6b-830e-436790ebd2e3}</author>
    <author>tc={a4c6daed-c6eb-4d02-8337-2ad87ec6a134}</author>
    <author>tc={a720c43d-605f-4387-b7b2-34781569e3c1}</author>
    <author>tc={a898f559-4279-448a-aa44-94ca24f742a6}</author>
    <author>tc={c889b0aa-8eee-48d6-8130-5b9a84b0f0d6}</author>
    <author>tc={ced8b178-9db2-4e59-88a0-c3426c7c3078}</author>
    <author>tc={d6023541-4dae-4f4f-990a-5e60f63b7b1d}</author>
    <author>tc={d7f08dfe-3a15-4f38-96b8-648052ebb1da}</author>
    <author>tc={e1e582a1-2580-413e-adbd-9d16b3b23e8c}</author>
    <author>tc={e7830461-7ccc-48a1-ac53-751d87a7dc0c}</author>
    <author>tc={ed68d510-0002-4c0c-be41-1ef24914d0e4}</author>
    <author>tc={f9d2d70d-96b9-46d8-8f90-513ef7ace920}</author>
    <author>tc={fe5e9cdf-1f06-46c4-8076-5dc33eb036a0}</author>
  </authors>
  <commentList>
    <comment authorId="0" xr:uid="{0293c627-34f4-49a3-89b7-36481a568419}" ref="L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100 %KASTY
</t>
      </text>
    </comment>
    <comment authorId="1" xr:uid="{02cbd454-bb32-47d2-82cf-21557dcccae3}" ref="X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" xr:uid="{1097d44f-dc7d-4edb-adbb-87f21c6d2763}" ref="S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3" xr:uid="{1cb980a4-5366-44cf-99b3-fc771df0155b}" ref="K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4" xr:uid="{225f510c-ddbf-41af-a166-35f2ef3463f6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5" xr:uid="{23f70c5e-e031-4c14-b058-79f3afa5366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BRYGADZISTA
</t>
      </text>
    </comment>
    <comment authorId="6" xr:uid="{2d58538f-eeb9-45cd-83ad-8dbc38e1a685}" ref="T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7" xr:uid="{2f42c6a2-f923-425b-8288-075dc61a0382}" ref="S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8" xr:uid="{343cf5f6-82e5-4ccd-ada5-eff980e78721}" ref="U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9" xr:uid="{3bf4c362-df85-4b87-a17c-d6ca8e2cb4b7}" ref="N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0" xr:uid="{3fa1fbd5-b867-436a-982c-2e5fbce49c28}" ref="S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1" xr:uid="{49b2381c-f5f0-4ab4-ac18-87254634b1c2}" ref="R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2" xr:uid="{6467e514-31ea-4f55-9743-dc67e3f02e7c}" ref="T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3" xr:uid="{6d4d8114-a21f-470c-9afc-77d6cb85af42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BRYGADZISTA
</t>
      </text>
    </comment>
    <comment authorId="14" xr:uid="{70e1bebd-780e-4f15-93c1-301b99d3693f}" ref="V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5" xr:uid="{7ad765f9-dc7d-4f1b-8d99-78cc9f9702d2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6" xr:uid="{8bd415c8-1cc5-45c5-bb77-fee90229fc91}" ref="M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7" xr:uid="{90bf171c-aa7e-4df6-84b5-30af21f67d01}" ref="S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8" xr:uid="{96ba7fd4-7634-4d14-9f6f-a9b5e412b974}" ref="P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19" xr:uid="{99835bd9-71fe-4b6b-830e-436790ebd2e3}" ref="U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0" xr:uid="{a4c6daed-c6eb-4d02-8337-2ad87ec6a134}" ref="S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1" xr:uid="{a720c43d-605f-4387-b7b2-34781569e3c1}" ref="R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2" xr:uid="{a898f559-4279-448a-aa44-94ca24f742a6}" ref="R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3" xr:uid="{c889b0aa-8eee-48d6-8130-5b9a84b0f0d6}" ref="R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4" xr:uid="{ced8b178-9db2-4e59-88a0-c3426c7c3078}" ref="X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KASTY
</t>
      </text>
    </comment>
    <comment authorId="25" xr:uid="{d6023541-4dae-4f4f-990a-5e60f63b7b1d}" ref="R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6" xr:uid="{d7f08dfe-3a15-4f38-96b8-648052ebb1da}" ref="V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7" xr:uid="{e1e582a1-2580-413e-adbd-9d16b3b23e8c}" ref="X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KASTY
</t>
      </text>
    </comment>
    <comment authorId="28" xr:uid="{e7830461-7ccc-48a1-ac53-751d87a7dc0c}" ref="R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29" xr:uid="{ed68d510-0002-4c0c-be41-1ef24914d0e4}" ref="R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30" xr:uid="{f9d2d70d-96b9-46d8-8f90-513ef7ace920}" ref="M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  <comment authorId="31" xr:uid="{fe5e9cdf-1f06-46c4-8076-5dc33eb036a0}" ref="S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KASTY
</t>
      </text>
    </comment>
  </commentList>
</comments>
</file>

<file path=xl/sharedStrings.xml><?xml version="1.0" encoding="utf-8"?>
<sst xmlns="http://schemas.openxmlformats.org/spreadsheetml/2006/main" count="164" uniqueCount="124">
  <si>
    <t>HR KONO</t>
  </si>
  <si>
    <t>Nr tygodnia</t>
  </si>
  <si>
    <t>Osoby zatrudnione</t>
  </si>
  <si>
    <t>Rezygnacje</t>
  </si>
  <si>
    <t>Ilość osób - rezygnacje</t>
  </si>
  <si>
    <t>Procent rezygnacji w stosunku do ilości osób zatrudnionych</t>
  </si>
  <si>
    <t>w17</t>
  </si>
  <si>
    <t>w18</t>
  </si>
  <si>
    <t>wt19</t>
  </si>
  <si>
    <t xml:space="preserve"> </t>
  </si>
  <si>
    <t>data</t>
  </si>
  <si>
    <t>Tydzień</t>
  </si>
  <si>
    <t>Średnia Ilość osób która powinna się stawić</t>
  </si>
  <si>
    <t>Średnia Ilość osób która się stawiła</t>
  </si>
  <si>
    <t>Procent</t>
  </si>
  <si>
    <t>Tydzień 50</t>
  </si>
  <si>
    <t>Tydzień 51</t>
  </si>
  <si>
    <t>Tydzień 52</t>
  </si>
  <si>
    <t>Tydzień 1</t>
  </si>
  <si>
    <t>Tydzień 2</t>
  </si>
  <si>
    <t>Tydzień 3</t>
  </si>
  <si>
    <t>Tydzień 4</t>
  </si>
  <si>
    <t>Tydzień 5</t>
  </si>
  <si>
    <t>Tydzień 6</t>
  </si>
  <si>
    <t>Tydzień 7</t>
  </si>
  <si>
    <t>Tydzień 8</t>
  </si>
  <si>
    <t>Tydzień 9</t>
  </si>
  <si>
    <t>Tydzień 10</t>
  </si>
  <si>
    <t>Tydzień 11</t>
  </si>
  <si>
    <t>Tydzień 12</t>
  </si>
  <si>
    <t>Tydzień 13</t>
  </si>
  <si>
    <t>Tydzień 14</t>
  </si>
  <si>
    <t>Tydzień 15</t>
  </si>
  <si>
    <t>Tydzień 16</t>
  </si>
  <si>
    <t>Tydzień 17</t>
  </si>
  <si>
    <t>Tydzień 18</t>
  </si>
  <si>
    <t>Tydzień 19</t>
  </si>
  <si>
    <t>Tydzień 20</t>
  </si>
  <si>
    <t>Tydzień 21</t>
  </si>
  <si>
    <t>Tydzień 22</t>
  </si>
  <si>
    <t>Tydzień 23</t>
  </si>
  <si>
    <t>Tydzień 24</t>
  </si>
  <si>
    <t>Tydzień 25</t>
  </si>
  <si>
    <t>Tydzień 26</t>
  </si>
  <si>
    <t>Tydzień 27</t>
  </si>
  <si>
    <t>Tydzień 28</t>
  </si>
  <si>
    <t>w niedziele nie liczyć do osób pracujących: działu reklamacji, działu jakości</t>
  </si>
  <si>
    <t>NAZWA FIRMY</t>
  </si>
  <si>
    <t>Plan</t>
  </si>
  <si>
    <t>Awizowanych</t>
  </si>
  <si>
    <t>Wykonanie</t>
  </si>
  <si>
    <t>% wykonania</t>
  </si>
  <si>
    <t>PICK</t>
  </si>
  <si>
    <t>średnia tygodniowa</t>
  </si>
  <si>
    <t>data zatr.</t>
  </si>
  <si>
    <t>login</t>
  </si>
  <si>
    <t>OT00415</t>
  </si>
  <si>
    <t>SZKOLENIA</t>
  </si>
  <si>
    <t>OT00947</t>
  </si>
  <si>
    <t>NB</t>
  </si>
  <si>
    <t>OT00949</t>
  </si>
  <si>
    <t>OT00950</t>
  </si>
  <si>
    <t>OT00951</t>
  </si>
  <si>
    <t>OT00952</t>
  </si>
  <si>
    <t>OT00913</t>
  </si>
  <si>
    <t>OT00919</t>
  </si>
  <si>
    <t>OT00915</t>
  </si>
  <si>
    <t>OT00911</t>
  </si>
  <si>
    <t>OT00930</t>
  </si>
  <si>
    <t>OT00904</t>
  </si>
  <si>
    <t>OT00973</t>
  </si>
  <si>
    <t>OT00857</t>
  </si>
  <si>
    <t>OT00859</t>
  </si>
  <si>
    <t>OT00863</t>
  </si>
  <si>
    <t>OT00866</t>
  </si>
  <si>
    <t>OT00872</t>
  </si>
  <si>
    <t>OT00865</t>
  </si>
  <si>
    <t>OT00867</t>
  </si>
  <si>
    <t>OT00870</t>
  </si>
  <si>
    <t>OT00765</t>
  </si>
  <si>
    <t>OT00768</t>
  </si>
  <si>
    <t>OT00767</t>
  </si>
  <si>
    <t>OT00766</t>
  </si>
  <si>
    <t>OT01052</t>
  </si>
  <si>
    <t>OT01094</t>
  </si>
  <si>
    <t>OT01093</t>
  </si>
  <si>
    <t>OT01091</t>
  </si>
  <si>
    <t>OT01089</t>
  </si>
  <si>
    <t>TYDZIEŃ WSPÓŁPRACY</t>
  </si>
  <si>
    <t>I</t>
  </si>
  <si>
    <t>II</t>
  </si>
  <si>
    <t>III</t>
  </si>
  <si>
    <t>CEL</t>
  </si>
  <si>
    <t>PACK</t>
  </si>
  <si>
    <t>OT00435</t>
  </si>
  <si>
    <t>OT00489</t>
  </si>
  <si>
    <t>OT00964</t>
  </si>
  <si>
    <t>OT00955</t>
  </si>
  <si>
    <t>OT00967</t>
  </si>
  <si>
    <t>OT00958</t>
  </si>
  <si>
    <t>OT00956</t>
  </si>
  <si>
    <t>27.042026</t>
  </si>
  <si>
    <t>OT00645</t>
  </si>
  <si>
    <t>OT00693</t>
  </si>
  <si>
    <t>OT00629</t>
  </si>
  <si>
    <t>OT00646</t>
  </si>
  <si>
    <t>OT00838</t>
  </si>
  <si>
    <t>OT00840</t>
  </si>
  <si>
    <t>OT00845</t>
  </si>
  <si>
    <t>OT00841</t>
  </si>
  <si>
    <t>OT00852</t>
  </si>
  <si>
    <t>OT00837</t>
  </si>
  <si>
    <t>OT00839</t>
  </si>
  <si>
    <t>OT00842</t>
  </si>
  <si>
    <t>OT00771</t>
  </si>
  <si>
    <t>OT00772</t>
  </si>
  <si>
    <t>OT01079</t>
  </si>
  <si>
    <t>OT01078</t>
  </si>
  <si>
    <t>OT01064</t>
  </si>
  <si>
    <t>OT01063</t>
  </si>
  <si>
    <t xml:space="preserve">&gt;= 94% </t>
  </si>
  <si>
    <t>80% - 93%</t>
  </si>
  <si>
    <t xml:space="preserve">50% - 79% </t>
  </si>
  <si>
    <t>&lt; 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</si>
</sst>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20.0"/>
      <color theme="0"/>
      <name val="Arial"/>
    </font>
    <font/>
    <font>
      <sz val="12.0"/>
      <color theme="1"/>
      <name val="Arial"/>
    </font>
    <font>
      <b/>
      <sz val="12.0"/>
      <color theme="0"/>
      <name val="Arial"/>
    </font>
    <font>
      <b/>
      <sz val="12.0"/>
      <color theme="1"/>
      <name val="Arial"/>
    </font>
    <font>
      <b/>
      <sz val="11.0"/>
      <color theme="0"/>
      <name val="Calibri"/>
    </font>
    <font>
      <b/>
      <sz val="11.0"/>
      <color theme="0"/>
      <name val="Arial"/>
    </font>
    <font>
      <b/>
      <sz val="11.0"/>
      <color theme="1"/>
      <name val="Calibri"/>
    </font>
    <font>
      <sz val="11.0"/>
      <color theme="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4.0"/>
      <color theme="0"/>
      <name val="Calibri"/>
    </font>
    <font>
      <b/>
      <sz val="12.0"/>
      <color theme="0"/>
      <name val="Calibri"/>
    </font>
    <font>
      <b/>
      <sz val="10.0"/>
      <color theme="1"/>
      <name val="Calibri"/>
    </font>
    <font>
      <sz val="12.0"/>
      <color theme="0"/>
      <name val="Calibri"/>
    </font>
    <font>
      <b/>
      <color rgb="FF000000"/>
      <name val="Calibri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1"/>
        <bgColor theme="1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385623"/>
        <bgColor rgb="FF385623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1E4E79"/>
        <bgColor rgb="FF1E4E79"/>
      </patternFill>
    </fill>
    <fill>
      <patternFill patternType="solid">
        <fgColor rgb="FFD9E2F3"/>
        <bgColor rgb="FFD9E2F3"/>
      </patternFill>
    </fill>
    <fill>
      <patternFill patternType="solid">
        <fgColor rgb="FF56BA89"/>
        <bgColor rgb="FF56BA89"/>
      </patternFill>
    </fill>
    <fill>
      <patternFill patternType="solid">
        <fgColor rgb="FFB6DFCD"/>
        <bgColor rgb="FFB6DFCD"/>
      </patternFill>
    </fill>
    <fill>
      <patternFill patternType="solid">
        <fgColor rgb="FFFAE8B0"/>
        <bgColor rgb="FFFAE8B0"/>
      </patternFill>
    </fill>
    <fill>
      <patternFill patternType="solid">
        <fgColor rgb="FFF4C5C3"/>
        <bgColor rgb="FFF4C5C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theme="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/>
    </xf>
    <xf borderId="5" fillId="4" fontId="3" numFmtId="0" xfId="0" applyBorder="1" applyFont="1"/>
    <xf borderId="5" fillId="4" fontId="5" numFmtId="10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Font="1"/>
    <xf borderId="1" fillId="2" fontId="1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/>
    </xf>
    <xf borderId="5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shrinkToFit="0" vertical="center" wrapText="1"/>
    </xf>
    <xf borderId="5" fillId="4" fontId="8" numFmtId="0" xfId="0" applyBorder="1" applyFont="1"/>
    <xf borderId="5" fillId="4" fontId="7" numFmtId="0" xfId="0" applyAlignment="1" applyBorder="1" applyFont="1">
      <alignment horizontal="center" vertical="center"/>
    </xf>
    <xf borderId="5" fillId="4" fontId="9" numFmtId="1" xfId="0" applyAlignment="1" applyBorder="1" applyFont="1" applyNumberFormat="1">
      <alignment horizontal="center" vertical="center"/>
    </xf>
    <xf borderId="5" fillId="4" fontId="7" numFmtId="10" xfId="0" applyAlignment="1" applyBorder="1" applyFont="1" applyNumberFormat="1">
      <alignment horizontal="center" vertical="center"/>
    </xf>
    <xf borderId="5" fillId="4" fontId="10" numFmtId="14" xfId="0" applyBorder="1" applyFont="1" applyNumberFormat="1"/>
    <xf borderId="5" fillId="4" fontId="11" numFmtId="0" xfId="0" applyAlignment="1" applyBorder="1" applyFont="1">
      <alignment horizontal="center" vertical="center"/>
    </xf>
    <xf borderId="5" fillId="4" fontId="12" numFmtId="1" xfId="0" applyAlignment="1" applyBorder="1" applyFont="1" applyNumberFormat="1">
      <alignment horizontal="center" vertical="center"/>
    </xf>
    <xf borderId="5" fillId="4" fontId="11" numFmtId="10" xfId="0" applyAlignment="1" applyBorder="1" applyFont="1" applyNumberFormat="1">
      <alignment horizontal="center" vertical="center"/>
    </xf>
    <xf borderId="0" fillId="0" fontId="13" numFmtId="0" xfId="0" applyFont="1"/>
    <xf borderId="5" fillId="4" fontId="14" numFmtId="0" xfId="0" applyBorder="1" applyFont="1"/>
    <xf borderId="0" fillId="0" fontId="8" numFmtId="0" xfId="0" applyFont="1"/>
    <xf borderId="1" fillId="2" fontId="15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5" fillId="3" fontId="7" numFmtId="0" xfId="0" applyAlignment="1" applyBorder="1" applyFont="1">
      <alignment horizontal="center"/>
    </xf>
    <xf borderId="5" fillId="5" fontId="14" numFmtId="0" xfId="0" applyAlignment="1" applyBorder="1" applyFill="1" applyFont="1">
      <alignment horizontal="center"/>
    </xf>
    <xf borderId="5" fillId="6" fontId="11" numFmtId="0" xfId="0" applyAlignment="1" applyBorder="1" applyFill="1" applyFont="1">
      <alignment horizontal="center"/>
    </xf>
    <xf borderId="5" fillId="6" fontId="12" numFmtId="0" xfId="0" applyAlignment="1" applyBorder="1" applyFont="1">
      <alignment horizontal="center"/>
    </xf>
    <xf borderId="5" fillId="6" fontId="11" numFmtId="9" xfId="0" applyAlignment="1" applyBorder="1" applyFont="1" applyNumberFormat="1">
      <alignment horizontal="center"/>
    </xf>
    <xf borderId="5" fillId="6" fontId="14" numFmtId="0" xfId="0" applyAlignment="1" applyBorder="1" applyFont="1">
      <alignment horizontal="center"/>
    </xf>
    <xf borderId="5" fillId="5" fontId="11" numFmtId="0" xfId="0" applyAlignment="1" applyBorder="1" applyFont="1">
      <alignment horizontal="center"/>
    </xf>
    <xf borderId="5" fillId="5" fontId="11" numFmtId="9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5" fillId="7" fontId="16" numFmtId="0" xfId="0" applyBorder="1" applyFill="1" applyFont="1"/>
    <xf borderId="5" fillId="7" fontId="16" numFmtId="0" xfId="0" applyAlignment="1" applyBorder="1" applyFont="1">
      <alignment horizontal="center" vertical="center"/>
    </xf>
    <xf borderId="5" fillId="7" fontId="16" numFmtId="0" xfId="0" applyAlignment="1" applyBorder="1" applyFont="1">
      <alignment horizontal="center" shrinkToFit="0" vertical="center" wrapText="1"/>
    </xf>
    <xf borderId="0" fillId="0" fontId="14" numFmtId="14" xfId="0" applyFont="1" applyNumberFormat="1"/>
    <xf borderId="5" fillId="8" fontId="14" numFmtId="14" xfId="0" applyBorder="1" applyFill="1" applyFont="1" applyNumberFormat="1"/>
    <xf borderId="5" fillId="8" fontId="8" numFmtId="0" xfId="0" applyBorder="1" applyFont="1"/>
    <xf borderId="5" fillId="8" fontId="14" numFmtId="0" xfId="0" applyBorder="1" applyFont="1"/>
    <xf borderId="0" fillId="0" fontId="8" numFmtId="0" xfId="0" applyAlignment="1" applyFont="1">
      <alignment horizontal="center" shrinkToFit="0" textRotation="90" vertical="center" wrapText="1"/>
    </xf>
    <xf borderId="5" fillId="8" fontId="14" numFmtId="1" xfId="0" applyAlignment="1" applyBorder="1" applyFont="1" applyNumberFormat="1">
      <alignment horizontal="center"/>
    </xf>
    <xf borderId="0" fillId="0" fontId="14" numFmtId="1" xfId="0" applyFont="1" applyNumberFormat="1"/>
    <xf borderId="5" fillId="9" fontId="14" numFmtId="0" xfId="0" applyAlignment="1" applyBorder="1" applyFill="1" applyFont="1">
      <alignment horizontal="center"/>
    </xf>
    <xf borderId="0" fillId="0" fontId="14" numFmtId="1" xfId="0" applyAlignment="1" applyFont="1" applyNumberFormat="1">
      <alignment horizontal="center"/>
    </xf>
    <xf borderId="5" fillId="10" fontId="14" numFmtId="0" xfId="0" applyBorder="1" applyFill="1" applyFont="1"/>
    <xf borderId="5" fillId="4" fontId="14" numFmtId="1" xfId="0" applyBorder="1" applyFont="1" applyNumberFormat="1"/>
    <xf borderId="5" fillId="4" fontId="14" numFmtId="0" xfId="0" applyAlignment="1" applyBorder="1" applyFont="1">
      <alignment horizontal="center"/>
    </xf>
    <xf borderId="0" fillId="0" fontId="14" numFmtId="0" xfId="0" applyAlignment="1" applyFont="1">
      <alignment horizontal="right"/>
    </xf>
    <xf borderId="5" fillId="10" fontId="14" numFmtId="1" xfId="0" applyAlignment="1" applyBorder="1" applyFont="1" applyNumberFormat="1">
      <alignment horizontal="center"/>
    </xf>
    <xf borderId="5" fillId="10" fontId="14" numFmtId="0" xfId="0" applyAlignment="1" applyBorder="1" applyFont="1">
      <alignment horizontal="center"/>
    </xf>
    <xf borderId="0" fillId="0" fontId="17" numFmtId="0" xfId="0" applyAlignment="1" applyFont="1">
      <alignment horizontal="center" shrinkToFit="0" wrapText="1"/>
    </xf>
    <xf borderId="5" fillId="11" fontId="17" numFmtId="0" xfId="0" applyAlignment="1" applyBorder="1" applyFill="1" applyFont="1">
      <alignment horizontal="center" shrinkToFit="0" wrapText="1"/>
    </xf>
    <xf borderId="5" fillId="11" fontId="14" numFmtId="0" xfId="0" applyBorder="1" applyFont="1"/>
    <xf borderId="5" fillId="11" fontId="14" numFmtId="0" xfId="0" applyAlignment="1" applyBorder="1" applyFont="1">
      <alignment horizontal="center"/>
    </xf>
    <xf borderId="5" fillId="11" fontId="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5" fillId="12" fontId="16" numFmtId="0" xfId="0" applyBorder="1" applyFill="1" applyFont="1"/>
    <xf borderId="5" fillId="12" fontId="16" numFmtId="0" xfId="0" applyAlignment="1" applyBorder="1" applyFont="1">
      <alignment horizontal="center" vertical="center"/>
    </xf>
    <xf borderId="5" fillId="12" fontId="18" numFmtId="0" xfId="0" applyBorder="1" applyFont="1"/>
    <xf borderId="5" fillId="12" fontId="16" numFmtId="0" xfId="0" applyAlignment="1" applyBorder="1" applyFont="1">
      <alignment horizontal="center" shrinkToFit="0" vertical="center" wrapText="1"/>
    </xf>
    <xf borderId="5" fillId="8" fontId="14" numFmtId="14" xfId="0" applyAlignment="1" applyBorder="1" applyFont="1" applyNumberFormat="1">
      <alignment horizontal="right"/>
    </xf>
    <xf borderId="5" fillId="8" fontId="8" numFmtId="1" xfId="0" applyAlignment="1" applyBorder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14" numFmtId="14" xfId="0" applyAlignment="1" applyFont="1" applyNumberFormat="1">
      <alignment horizontal="right"/>
    </xf>
    <xf borderId="5" fillId="13" fontId="14" numFmtId="0" xfId="0" applyAlignment="1" applyBorder="1" applyFill="1" applyFont="1">
      <alignment horizontal="center"/>
    </xf>
    <xf borderId="0" fillId="14" fontId="13" numFmtId="0" xfId="0" applyFill="1" applyFont="1"/>
    <xf borderId="5" fillId="4" fontId="14" numFmtId="1" xfId="0" applyAlignment="1" applyBorder="1" applyFont="1" applyNumberFormat="1">
      <alignment horizontal="center"/>
    </xf>
    <xf borderId="6" fillId="14" fontId="19" numFmtId="0" xfId="0" applyAlignment="1" applyBorder="1" applyFont="1">
      <alignment horizontal="center" readingOrder="0"/>
    </xf>
    <xf borderId="6" fillId="15" fontId="19" numFmtId="0" xfId="0" applyAlignment="1" applyBorder="1" applyFill="1" applyFont="1">
      <alignment horizontal="center" readingOrder="0"/>
    </xf>
    <xf borderId="6" fillId="16" fontId="19" numFmtId="0" xfId="0" applyAlignment="1" applyBorder="1" applyFill="1" applyFont="1">
      <alignment horizontal="center" readingOrder="0"/>
    </xf>
    <xf borderId="6" fillId="17" fontId="19" numFmtId="0" xfId="0" applyAlignment="1" applyBorder="1" applyFill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solid">
          <fgColor rgb="FF56BA89"/>
          <bgColor rgb="FF56BA89"/>
        </patternFill>
      </fill>
      <border/>
    </dxf>
    <dxf>
      <font/>
      <fill>
        <patternFill patternType="solid">
          <fgColor rgb="FFB6DFCD"/>
          <bgColor rgb="FFB6DFCD"/>
        </patternFill>
      </fill>
      <border/>
    </dxf>
    <dxf>
      <font/>
      <fill>
        <patternFill patternType="solid">
          <fgColor rgb="FFFAE8B0"/>
          <bgColor rgb="FFFAE8B0"/>
        </patternFill>
      </fill>
      <border/>
    </dxf>
    <dxf>
      <font/>
      <fill>
        <patternFill patternType="solid">
          <fgColor rgb="FFF4C5C3"/>
          <bgColor rgb="FFF4C5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Procent rezygnacji </a:t>
            </a:r>
          </a:p>
        </c:rich>
      </c:tx>
      <c:overlay val="0"/>
    </c:title>
    <c:plotArea>
      <c:layout>
        <c:manualLayout>
          <c:xMode val="edge"/>
          <c:yMode val="edge"/>
          <c:x val="0.016532179388176294"/>
          <c:y val="0.42769336673047637"/>
          <c:w val="0.9595880059400135"/>
          <c:h val="0.335934127825907"/>
        </c:manualLayout>
      </c:layout>
      <c:lineChart>
        <c:varyColors val="0"/>
        <c:ser>
          <c:idx val="0"/>
          <c:order val="0"/>
          <c:tx>
            <c:v>Procent rezygnacji w stosunku do ilości osób zatrudnionych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Rezygnacje!$A$3:$A$69</c:f>
            </c:strRef>
          </c:cat>
          <c:val>
            <c:numRef>
              <c:f>Rezygnacje!$E$3:$E$69</c:f>
              <c:numCache/>
            </c:numRef>
          </c:val>
          <c:smooth val="0"/>
        </c:ser>
        <c:axId val="331037151"/>
        <c:axId val="1468439951"/>
      </c:lineChart>
      <c:catAx>
        <c:axId val="3310371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8439951"/>
      </c:catAx>
      <c:valAx>
        <c:axId val="146843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103715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Procentowa frekwencja </a:t>
            </a:r>
          </a:p>
        </c:rich>
      </c:tx>
      <c:overlay val="0"/>
    </c:title>
    <c:plotArea>
      <c:layout>
        <c:manualLayout>
          <c:xMode val="edge"/>
          <c:yMode val="edge"/>
          <c:x val="0.046668063205714316"/>
          <c:y val="0.3139011023622047"/>
          <c:w val="0.9298381109745354"/>
          <c:h val="0.5095029921259843"/>
        </c:manualLayout>
      </c:layout>
      <c:lineChart>
        <c:varyColors val="0"/>
        <c:ser>
          <c:idx val="0"/>
          <c:order val="0"/>
          <c:tx>
            <c:v>Procent</c:v>
          </c:tx>
          <c:spPr>
            <a:ln cmpd="sng" w="28575">
              <a:solidFill>
                <a:schemeClr val="accent4"/>
              </a:solidFill>
            </a:ln>
          </c:spPr>
          <c:marker>
            <c:symbol val="circle"/>
            <c:size val="1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Frekwencja!$B$3:$B$70</c:f>
            </c:strRef>
          </c:cat>
          <c:val>
            <c:numRef>
              <c:f>Frekwencja!$E$3:$E$70</c:f>
              <c:numCache/>
            </c:numRef>
          </c:val>
          <c:smooth val="0"/>
        </c:ser>
        <c:axId val="2134179742"/>
        <c:axId val="2057781131"/>
      </c:lineChart>
      <c:catAx>
        <c:axId val="2134179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57781131"/>
      </c:catAx>
      <c:valAx>
        <c:axId val="2057781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179742"/>
      </c:valAx>
    </c:plotArea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Wykonanie wprowadzenia nowych osób tydzień do tygodnia</a:t>
            </a:r>
          </a:p>
        </c:rich>
      </c:tx>
      <c:layout>
        <c:manualLayout>
          <c:xMode val="edge"/>
          <c:yMode val="edge"/>
          <c:x val="0.1738393271254375"/>
          <c:y val="0.03100667796272301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Plan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'Wykonanie planów'!$A$3:$A$70</c:f>
            </c:strRef>
          </c:cat>
          <c:val>
            <c:numRef>
              <c:f>'Wykonanie planów'!$B$3:$B$70</c:f>
              <c:numCache/>
            </c:numRef>
          </c:val>
        </c:ser>
        <c:ser>
          <c:idx val="1"/>
          <c:order val="1"/>
          <c:tx>
            <c:v>Awizowanych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'Wykonanie planów'!$A$3:$A$70</c:f>
            </c:strRef>
          </c:cat>
          <c:val>
            <c:numRef>
              <c:f>'Wykonanie planów'!$C$3:$C$70</c:f>
              <c:numCache/>
            </c:numRef>
          </c:val>
        </c:ser>
        <c:ser>
          <c:idx val="2"/>
          <c:order val="2"/>
          <c:tx>
            <c:v>Wykonanie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'Wykonanie planów'!$A$3:$A$70</c:f>
            </c:strRef>
          </c:cat>
          <c:val>
            <c:numRef>
              <c:f>'Wykonanie planów'!$D$3:$D$70</c:f>
              <c:numCache/>
            </c:numRef>
          </c:val>
        </c:ser>
        <c:axId val="1937812153"/>
        <c:axId val="1470403060"/>
      </c:barChart>
      <c:catAx>
        <c:axId val="1937812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0403060"/>
      </c:catAx>
      <c:valAx>
        <c:axId val="1470403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78121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Calibri Light"/>
              </a:defRPr>
            </a:pPr>
            <a:r>
              <a:rPr b="1" i="0" sz="1600">
                <a:solidFill>
                  <a:srgbClr val="000000"/>
                </a:solidFill>
                <a:latin typeface="Calibri Light"/>
              </a:rPr>
              <a:t>% wykonania</a:t>
            </a:r>
          </a:p>
        </c:rich>
      </c:tx>
      <c:layout>
        <c:manualLayout>
          <c:xMode val="edge"/>
          <c:yMode val="edge"/>
          <c:x val="0.3691456692913386"/>
          <c:y val="0.02777777777777777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% wykonania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'Wykonanie planów'!$A$3:$A$70</c:f>
            </c:strRef>
          </c:cat>
          <c:val>
            <c:numRef>
              <c:f>'Wykonanie planów'!$E$3:$E$70</c:f>
              <c:numCache/>
            </c:numRef>
          </c:val>
        </c:ser>
        <c:axId val="227622590"/>
        <c:axId val="682099097"/>
      </c:barChart>
      <c:catAx>
        <c:axId val="227622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2099097"/>
      </c:catAx>
      <c:valAx>
        <c:axId val="6820990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7622590"/>
      </c:valAx>
    </c:plotArea>
    <c:plotVisOnly val="1"/>
  </c:chart>
  <c:spPr>
    <a:solidFill>
      <a:schemeClr val="lt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WYDAJNOŚĆ ŚREDNIOTYGODNIOWA PICK vs CEL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średnia tygodniowa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'Wydajności'!$B$35:$Y$35</c:f>
            </c:strRef>
          </c:cat>
          <c:val>
            <c:numRef>
              <c:f>'Wydajności'!$B$36:$Y$36</c:f>
              <c:numCache/>
            </c:numRef>
          </c:val>
        </c:ser>
        <c:axId val="261903097"/>
        <c:axId val="847104215"/>
      </c:barChart>
      <c:lineChart>
        <c:varyColors val="0"/>
        <c:ser>
          <c:idx val="1"/>
          <c:order val="1"/>
          <c:tx>
            <c:v>CEL</c:v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'Wydajności'!$B$35:$Y$35</c:f>
            </c:strRef>
          </c:cat>
          <c:val>
            <c:numRef>
              <c:f>'Wydajności'!$D$37:$Y$37</c:f>
              <c:numCache/>
            </c:numRef>
          </c:val>
          <c:smooth val="0"/>
        </c:ser>
        <c:axId val="261903097"/>
        <c:axId val="847104215"/>
      </c:lineChart>
      <c:catAx>
        <c:axId val="2619030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TYDZIEŃ WSPÓŁPRACY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7104215"/>
      </c:catAx>
      <c:valAx>
        <c:axId val="847104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+mn-lt"/>
                  </a:rPr>
                  <a:t>WYDAJNOŚĆ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190309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6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WYDAJNOŚĆ ŚREDNIOTYGODNIOWA PACK vs CEL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średnia tygodniowa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'Wydajności'!$B$72:$Y$72</c:f>
            </c:strRef>
          </c:cat>
          <c:val>
            <c:numRef>
              <c:f>'Wydajności'!$B$73:$Y$73</c:f>
              <c:numCache/>
            </c:numRef>
          </c:val>
        </c:ser>
        <c:axId val="279649491"/>
        <c:axId val="1335583837"/>
      </c:barChart>
      <c:lineChart>
        <c:varyColors val="0"/>
        <c:ser>
          <c:idx val="1"/>
          <c:order val="1"/>
          <c:tx>
            <c:v>CEL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trendline>
            <c:name>Linear (CEL)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'Wydajności'!$B$72:$Y$72</c:f>
            </c:strRef>
          </c:cat>
          <c:val>
            <c:numRef>
              <c:f>'Wydajności'!$B$74:$Y$74</c:f>
              <c:numCache/>
            </c:numRef>
          </c:val>
          <c:smooth val="0"/>
        </c:ser>
        <c:axId val="279649491"/>
        <c:axId val="1335583837"/>
      </c:lineChart>
      <c:catAx>
        <c:axId val="279649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TYDZIEŃ WSPÓŁPRACY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5583837"/>
      </c:catAx>
      <c:valAx>
        <c:axId val="1335583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WYDAJNOŚĆ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96494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accent4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990600</xdr:rowOff>
    </xdr:from>
    <xdr:ext cx="15525750" cy="8134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</xdr:row>
      <xdr:rowOff>438150</xdr:rowOff>
    </xdr:from>
    <xdr:ext cx="9296400" cy="100393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0</xdr:row>
      <xdr:rowOff>352425</xdr:rowOff>
    </xdr:from>
    <xdr:ext cx="14516100" cy="4000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514350</xdr:colOff>
      <xdr:row>35</xdr:row>
      <xdr:rowOff>47625</xdr:rowOff>
    </xdr:from>
    <xdr:ext cx="14544675" cy="36766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76200</xdr:colOff>
      <xdr:row>78</xdr:row>
      <xdr:rowOff>85725</xdr:rowOff>
    </xdr:from>
    <xdr:ext cx="5495925" cy="30765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85725</xdr:colOff>
      <xdr:row>78</xdr:row>
      <xdr:rowOff>28575</xdr:rowOff>
    </xdr:from>
    <xdr:ext cx="5133975" cy="3067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Kono" id="{8872136b-f9ee-45f7-9fb6-2241da094e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05-12T11:24:44.00" personId="{8872136b-f9ee-45f7-9fb6-2241da094e98}" id="{c758063c-67b3-4488-a568-a42c60f2c0d0}" done="0">
    <x18tc:text xml:space="preserve">41 stan (03.05) + 34 (wejścia 04.05-08.05) = 75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6-05-12T11:24:44.00" personId="{8872136b-f9ee-45f7-9fb6-2241da094e98}" id="{7a616717-5f4f-4a1c-bb91-db7da028fb24}" done="0">
    <x18tc:text xml:space="preserve">nie weszli:
ROSTUPNIAK NADIIA
BIELOVA VIKTORIIA
PENDZEI DMYTRO
PISKAREVA HALYNA
NUSHABE BORDIA</x18tc:text>
  </x18tc:threadedComment>
  <x18tc:threadedComment ref="D4" dT="2026-05-12T11:24:44.00" personId="{8872136b-f9ee-45f7-9fb6-2241da094e98}" id="{c7eb7450-e215-4e9a-87dd-1abb7c351fe2}" done="0">
    <x18tc:text xml:space="preserve">nie weszli: 
MAZUR MARIUSZ</x18tc:text>
  </x18tc:threadedComment>
  <x18tc:threadedComment ref="D5" dT="2026-05-12T11:24:44.00" personId="{8872136b-f9ee-45f7-9fb6-2241da094e98}" id="{cd06866c-2837-45a4-a33f-15e3aac1313e}" done="0">
    <x18tc:text xml:space="preserve">DIADYCHKO VALENTYNA- nie weszła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43" dT="2026-05-12T11:24:44.00" personId="{8872136b-f9ee-45f7-9fb6-2241da094e98}" id="{fe5e9cdf-1f06-46c4-8076-5dc33eb036a0}" done="0">
    <x18tc:text xml:space="preserve">100% KASTY</x18tc:text>
  </x18tc:threadedComment>
  <x18tc:threadedComment ref="R56" dT="2026-05-12T11:24:44.00" personId="{8872136b-f9ee-45f7-9fb6-2241da094e98}" id="{e7830461-7ccc-48a1-ac53-751d87a7dc0c}" done="0">
    <x18tc:text xml:space="preserve">100% KASTY</x18tc:text>
  </x18tc:threadedComment>
  <x18tc:threadedComment ref="R46" dT="2026-05-12T11:24:44.00" personId="{8872136b-f9ee-45f7-9fb6-2241da094e98}" id="{49b2381c-f5f0-4ab4-ac18-87254634b1c2}" done="0">
    <x18tc:text xml:space="preserve">100% KASTY</x18tc:text>
  </x18tc:threadedComment>
  <x18tc:threadedComment ref="K46" dT="2026-05-12T11:24:44.00" personId="{8872136b-f9ee-45f7-9fb6-2241da094e98}" id="{1cb980a4-5366-44cf-99b3-fc771df0155b}" done="0">
    <x18tc:text xml:space="preserve">100% KASTY</x18tc:text>
  </x18tc:threadedComment>
  <x18tc:threadedComment ref="R43" dT="2026-05-12T11:24:44.00" personId="{8872136b-f9ee-45f7-9fb6-2241da094e98}" id="{a720c43d-605f-4387-b7b2-34781569e3c1}" done="0">
    <x18tc:text xml:space="preserve">100% KASTY</x18tc:text>
  </x18tc:threadedComment>
  <x18tc:threadedComment ref="U56" dT="2026-05-12T11:24:44.00" personId="{8872136b-f9ee-45f7-9fb6-2241da094e98}" id="{343cf5f6-82e5-4ccd-ada5-eff980e78721}" done="0">
    <x18tc:text xml:space="preserve">100% KASTY</x18tc:text>
  </x18tc:threadedComment>
  <x18tc:threadedComment ref="X46" dT="2026-05-12T11:24:44.00" personId="{8872136b-f9ee-45f7-9fb6-2241da094e98}" id="{e1e582a1-2580-413e-adbd-9d16b3b23e8c}" done="0">
    <x18tc:text xml:space="preserve">KASTY</x18tc:text>
  </x18tc:threadedComment>
  <x18tc:threadedComment ref="M48" dT="2026-05-12T11:24:44.00" personId="{8872136b-f9ee-45f7-9fb6-2241da094e98}" id="{8bd415c8-1cc5-45c5-bb77-fee90229fc91}" done="0">
    <x18tc:text xml:space="preserve">100% KASTY</x18tc:text>
  </x18tc:threadedComment>
  <x18tc:threadedComment ref="R48" dT="2026-05-12T11:24:44.00" personId="{8872136b-f9ee-45f7-9fb6-2241da094e98}" id="{d6023541-4dae-4f4f-990a-5e60f63b7b1d}" done="0">
    <x18tc:text xml:space="preserve">100% KASTY</x18tc:text>
  </x18tc:threadedComment>
  <x18tc:threadedComment ref="R55" dT="2026-05-12T11:24:44.00" personId="{8872136b-f9ee-45f7-9fb6-2241da094e98}" id="{ed68d510-0002-4c0c-be41-1ef24914d0e4}" done="0">
    <x18tc:text xml:space="preserve">100% KASTY</x18tc:text>
  </x18tc:threadedComment>
  <x18tc:threadedComment ref="X43" dT="2026-05-12T11:24:44.00" personId="{8872136b-f9ee-45f7-9fb6-2241da094e98}" id="{ced8b178-9db2-4e59-88a0-c3426c7c3078}" done="0">
    <x18tc:text xml:space="preserve">KASTY</x18tc:text>
  </x18tc:threadedComment>
  <x18tc:threadedComment ref="S46" dT="2026-05-12T11:24:44.00" personId="{8872136b-f9ee-45f7-9fb6-2241da094e98}" id="{3fa1fbd5-b867-436a-982c-2e5fbce49c28}" done="0">
    <x18tc:text xml:space="preserve">100% KASTY</x18tc:text>
  </x18tc:threadedComment>
  <x18tc:threadedComment ref="L43" dT="2026-05-12T11:24:44.00" personId="{8872136b-f9ee-45f7-9fb6-2241da094e98}" id="{7ad765f9-dc7d-4f1b-8d99-78cc9f9702d2}" done="0">
    <x18tc:text xml:space="preserve">100% KASTY</x18tc:text>
  </x18tc:threadedComment>
  <x18tc:threadedComment ref="B3" dT="2026-05-12T11:24:44.00" personId="{8872136b-f9ee-45f7-9fb6-2241da094e98}" id="{23f70c5e-e031-4c14-b058-79f3afa5366f}" done="0">
    <x18tc:text xml:space="preserve">BRYGADZISTA</x18tc:text>
  </x18tc:threadedComment>
  <x18tc:threadedComment ref="U43" dT="2026-05-12T11:24:44.00" personId="{8872136b-f9ee-45f7-9fb6-2241da094e98}" id="{225f510c-ddbf-41af-a166-35f2ef3463f6}" done="0">
    <x18tc:text xml:space="preserve">100% KASTY</x18tc:text>
  </x18tc:threadedComment>
  <x18tc:threadedComment ref="V43" dT="2026-05-12T11:24:44.00" personId="{8872136b-f9ee-45f7-9fb6-2241da094e98}" id="{70e1bebd-780e-4f15-93c1-301b99d3693f}" done="0">
    <x18tc:text xml:space="preserve">100% KASTY</x18tc:text>
  </x18tc:threadedComment>
  <x18tc:threadedComment ref="R57" dT="2026-05-12T11:24:44.00" personId="{8872136b-f9ee-45f7-9fb6-2241da094e98}" id="{a898f559-4279-448a-aa44-94ca24f742a6}" done="0">
    <x18tc:text xml:space="preserve">100% KASTY</x18tc:text>
  </x18tc:threadedComment>
  <x18tc:threadedComment ref="N46" dT="2026-05-12T11:24:44.00" personId="{8872136b-f9ee-45f7-9fb6-2241da094e98}" id="{3bf4c362-df85-4b87-a17c-d6ca8e2cb4b7}" done="0">
    <x18tc:text xml:space="preserve">100% KASTY</x18tc:text>
  </x18tc:threadedComment>
  <x18tc:threadedComment ref="L46" dT="2026-05-12T11:24:44.00" personId="{8872136b-f9ee-45f7-9fb6-2241da094e98}" id="{0293c627-34f4-49a3-89b7-36481a568419}" done="0">
    <x18tc:text xml:space="preserve">100 %KASTY</x18tc:text>
  </x18tc:threadedComment>
  <x18tc:threadedComment ref="P46" dT="2026-05-12T11:24:44.00" personId="{8872136b-f9ee-45f7-9fb6-2241da094e98}" id="{96ba7fd4-7634-4d14-9f6f-a9b5e412b974}" done="0">
    <x18tc:text xml:space="preserve">100% KASTY</x18tc:text>
  </x18tc:threadedComment>
  <x18tc:threadedComment ref="U46" dT="2026-05-12T11:24:44.00" personId="{8872136b-f9ee-45f7-9fb6-2241da094e98}" id="{99835bd9-71fe-4b6b-830e-436790ebd2e3}" done="0">
    <x18tc:text xml:space="preserve">100% KASTY</x18tc:text>
  </x18tc:threadedComment>
  <x18tc:threadedComment ref="M46" dT="2026-05-12T11:24:44.00" personId="{8872136b-f9ee-45f7-9fb6-2241da094e98}" id="{f9d2d70d-96b9-46d8-8f90-513ef7ace920}" done="0">
    <x18tc:text xml:space="preserve">100% KASTY</x18tc:text>
  </x18tc:threadedComment>
  <x18tc:threadedComment ref="B42" dT="2026-05-12T11:24:44.00" personId="{8872136b-f9ee-45f7-9fb6-2241da094e98}" id="{6d4d8114-a21f-470c-9afc-77d6cb85af42}" done="0">
    <x18tc:text xml:space="preserve">BRYGADZISTA</x18tc:text>
  </x18tc:threadedComment>
  <x18tc:threadedComment ref="S48" dT="2026-05-12T11:24:44.00" personId="{8872136b-f9ee-45f7-9fb6-2241da094e98}" id="{2f42c6a2-f923-425b-8288-075dc61a0382}" done="0">
    <x18tc:text xml:space="preserve">100% KASTY</x18tc:text>
  </x18tc:threadedComment>
  <x18tc:threadedComment ref="X59" dT="2026-05-12T11:24:44.00" personId="{8872136b-f9ee-45f7-9fb6-2241da094e98}" id="{02cbd454-bb32-47d2-82cf-21557dcccae3}" done="0">
    <x18tc:text xml:space="preserve">100% KASTY</x18tc:text>
  </x18tc:threadedComment>
  <x18tc:threadedComment ref="R47" dT="2026-05-12T11:24:44.00" personId="{8872136b-f9ee-45f7-9fb6-2241da094e98}" id="{c889b0aa-8eee-48d6-8130-5b9a84b0f0d6}" done="0">
    <x18tc:text xml:space="preserve">100% KASTY</x18tc:text>
  </x18tc:threadedComment>
  <x18tc:threadedComment ref="S56" dT="2026-05-12T11:24:44.00" personId="{8872136b-f9ee-45f7-9fb6-2241da094e98}" id="{a4c6daed-c6eb-4d02-8337-2ad87ec6a134}" done="0">
    <x18tc:text xml:space="preserve">100% KASTY</x18tc:text>
  </x18tc:threadedComment>
  <x18tc:threadedComment ref="V46" dT="2026-05-12T11:24:44.00" personId="{8872136b-f9ee-45f7-9fb6-2241da094e98}" id="{d7f08dfe-3a15-4f38-96b8-648052ebb1da}" done="0">
    <x18tc:text xml:space="preserve">100% KASTY</x18tc:text>
  </x18tc:threadedComment>
  <x18tc:threadedComment ref="T46" dT="2026-05-12T11:24:44.00" personId="{8872136b-f9ee-45f7-9fb6-2241da094e98}" id="{6467e514-31ea-4f55-9743-dc67e3f02e7c}" done="0">
    <x18tc:text xml:space="preserve">100% KASTY</x18tc:text>
  </x18tc:threadedComment>
  <x18tc:threadedComment ref="T48" dT="2026-05-12T11:24:44.00" personId="{8872136b-f9ee-45f7-9fb6-2241da094e98}" id="{2d58538f-eeb9-45cd-83ad-8dbc38e1a685}" done="0">
    <x18tc:text xml:space="preserve">100% KASTY</x18tc:text>
  </x18tc:threadedComment>
  <x18tc:threadedComment ref="S57" dT="2026-05-12T11:24:44.00" personId="{8872136b-f9ee-45f7-9fb6-2241da094e98}" id="{90bf171c-aa7e-4df6-84b5-30af21f67d01}" done="0">
    <x18tc:text xml:space="preserve">100% KASTY</x18tc:text>
  </x18tc:threadedComment>
  <x18tc:threadedComment ref="S47" dT="2026-05-12T11:24:44.00" personId="{8872136b-f9ee-45f7-9fb6-2241da094e98}" id="{1097d44f-dc7d-4edb-adbb-87f21c6d2763}" done="0">
    <x18tc:text xml:space="preserve">100% KASTY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7.86"/>
    <col customWidth="1" min="5" max="5" width="27.43"/>
    <col customWidth="1" min="6" max="29" width="10.29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80.25" customHeight="1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9.5" customHeight="1">
      <c r="A3" s="7" t="s">
        <v>6</v>
      </c>
      <c r="B3" s="8">
        <v>17.0</v>
      </c>
      <c r="C3" s="8">
        <v>0.0</v>
      </c>
      <c r="D3" s="8">
        <f t="shared" ref="D3:D5" si="1">B3-C3</f>
        <v>17</v>
      </c>
      <c r="E3" s="9">
        <f t="shared" ref="E3:E5" si="2">C3/B3</f>
        <v>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7" t="s">
        <v>7</v>
      </c>
      <c r="B4" s="8">
        <v>44.0</v>
      </c>
      <c r="C4" s="8">
        <v>3.0</v>
      </c>
      <c r="D4" s="8">
        <f t="shared" si="1"/>
        <v>41</v>
      </c>
      <c r="E4" s="9">
        <f t="shared" si="2"/>
        <v>0.06818181818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7" t="s">
        <v>8</v>
      </c>
      <c r="B5" s="8">
        <v>75.0</v>
      </c>
      <c r="C5" s="8">
        <v>9.0</v>
      </c>
      <c r="D5" s="8">
        <f t="shared" si="1"/>
        <v>66</v>
      </c>
      <c r="E5" s="9">
        <f t="shared" si="2"/>
        <v>0.12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7"/>
      <c r="B6" s="8"/>
      <c r="C6" s="8"/>
      <c r="D6" s="8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7"/>
      <c r="B7" s="8"/>
      <c r="C7" s="8"/>
      <c r="D7" s="8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7"/>
      <c r="B8" s="8"/>
      <c r="C8" s="8"/>
      <c r="D8" s="8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7"/>
      <c r="B9" s="8"/>
      <c r="C9" s="8"/>
      <c r="D9" s="8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7"/>
      <c r="B10" s="8"/>
      <c r="C10" s="8"/>
      <c r="D10" s="8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7"/>
      <c r="B11" s="8"/>
      <c r="C11" s="8"/>
      <c r="D11" s="8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7"/>
      <c r="B12" s="8"/>
      <c r="C12" s="8"/>
      <c r="D12" s="8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7"/>
      <c r="B13" s="8"/>
      <c r="C13" s="8"/>
      <c r="D13" s="8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7"/>
      <c r="B14" s="8"/>
      <c r="C14" s="8"/>
      <c r="D14" s="8"/>
      <c r="E14" s="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7"/>
      <c r="B15" s="8"/>
      <c r="C15" s="8"/>
      <c r="D15" s="8"/>
      <c r="E15" s="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7"/>
      <c r="B16" s="8"/>
      <c r="C16" s="8"/>
      <c r="D16" s="8"/>
      <c r="E16" s="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7"/>
      <c r="B17" s="8"/>
      <c r="C17" s="8"/>
      <c r="D17" s="8"/>
      <c r="E17" s="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7"/>
      <c r="B18" s="8"/>
      <c r="C18" s="8"/>
      <c r="D18" s="8"/>
      <c r="E18" s="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7"/>
      <c r="B19" s="8"/>
      <c r="C19" s="8"/>
      <c r="D19" s="8"/>
      <c r="E19" s="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7"/>
      <c r="B20" s="8"/>
      <c r="C20" s="8"/>
      <c r="D20" s="8"/>
      <c r="E20" s="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7"/>
      <c r="B21" s="8"/>
      <c r="C21" s="8"/>
      <c r="D21" s="8"/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7"/>
      <c r="B22" s="8"/>
      <c r="C22" s="8"/>
      <c r="D22" s="8"/>
      <c r="E22" s="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7"/>
      <c r="B23" s="8"/>
      <c r="C23" s="8"/>
      <c r="D23" s="8"/>
      <c r="E23" s="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7"/>
      <c r="B24" s="8"/>
      <c r="C24" s="8"/>
      <c r="D24" s="8"/>
      <c r="E24" s="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7"/>
      <c r="B25" s="8"/>
      <c r="C25" s="8"/>
      <c r="D25" s="8"/>
      <c r="E25" s="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7"/>
      <c r="B26" s="8"/>
      <c r="C26" s="8"/>
      <c r="D26" s="8"/>
      <c r="E26" s="9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7"/>
      <c r="B27" s="8"/>
      <c r="C27" s="8"/>
      <c r="D27" s="8"/>
      <c r="E27" s="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7"/>
      <c r="B28" s="8"/>
      <c r="C28" s="8"/>
      <c r="D28" s="8"/>
      <c r="E28" s="9"/>
      <c r="F28" s="4"/>
      <c r="G28" s="4"/>
      <c r="H28" s="4"/>
      <c r="I28" s="4" t="s">
        <v>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7"/>
      <c r="B29" s="8"/>
      <c r="C29" s="8"/>
      <c r="D29" s="8"/>
      <c r="E29" s="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7"/>
      <c r="B30" s="8"/>
      <c r="C30" s="8"/>
      <c r="D30" s="8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7"/>
      <c r="B31" s="8"/>
      <c r="C31" s="8"/>
      <c r="D31" s="8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7"/>
      <c r="B32" s="8"/>
      <c r="C32" s="8"/>
      <c r="D32" s="8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7"/>
      <c r="B33" s="8"/>
      <c r="C33" s="8"/>
      <c r="D33" s="8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7"/>
      <c r="B34" s="8"/>
      <c r="C34" s="8"/>
      <c r="D34" s="8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7"/>
      <c r="B35" s="8"/>
      <c r="C35" s="8"/>
      <c r="D35" s="8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7"/>
      <c r="B36" s="8"/>
      <c r="C36" s="8"/>
      <c r="D36" s="8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7"/>
      <c r="B37" s="8"/>
      <c r="C37" s="8"/>
      <c r="D37" s="8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7"/>
      <c r="B38" s="8"/>
      <c r="C38" s="8"/>
      <c r="D38" s="8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7"/>
      <c r="B39" s="8"/>
      <c r="C39" s="8"/>
      <c r="D39" s="8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7"/>
      <c r="B40" s="8"/>
      <c r="C40" s="8"/>
      <c r="D40" s="8"/>
      <c r="E40" s="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7"/>
      <c r="B41" s="8"/>
      <c r="C41" s="8"/>
      <c r="D41" s="8"/>
      <c r="E41" s="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7"/>
      <c r="B42" s="8"/>
      <c r="C42" s="8"/>
      <c r="D42" s="8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7"/>
      <c r="B43" s="8"/>
      <c r="C43" s="8"/>
      <c r="D43" s="8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7"/>
      <c r="B44" s="8"/>
      <c r="C44" s="8"/>
      <c r="D44" s="8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7"/>
      <c r="B45" s="8"/>
      <c r="C45" s="8"/>
      <c r="D45" s="8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7"/>
      <c r="B46" s="8"/>
      <c r="C46" s="8"/>
      <c r="D46" s="8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7"/>
      <c r="B47" s="8"/>
      <c r="C47" s="8"/>
      <c r="D47" s="8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7"/>
      <c r="B48" s="8"/>
      <c r="C48" s="8"/>
      <c r="D48" s="8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7"/>
      <c r="B49" s="8"/>
      <c r="C49" s="8"/>
      <c r="D49" s="8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7"/>
      <c r="B50" s="8"/>
      <c r="C50" s="8"/>
      <c r="D50" s="8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7"/>
      <c r="B51" s="8"/>
      <c r="C51" s="8"/>
      <c r="D51" s="8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7"/>
      <c r="B52" s="8"/>
      <c r="C52" s="8"/>
      <c r="D52" s="8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7"/>
      <c r="B53" s="8"/>
      <c r="C53" s="8"/>
      <c r="D53" s="8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7"/>
      <c r="B54" s="8"/>
      <c r="C54" s="8"/>
      <c r="D54" s="8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7"/>
      <c r="B55" s="8"/>
      <c r="C55" s="8"/>
      <c r="D55" s="8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7"/>
      <c r="B56" s="8"/>
      <c r="C56" s="8"/>
      <c r="D56" s="8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7"/>
      <c r="B57" s="8"/>
      <c r="C57" s="8"/>
      <c r="D57" s="8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7"/>
      <c r="B58" s="8"/>
      <c r="C58" s="8"/>
      <c r="D58" s="8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7"/>
      <c r="B59" s="8"/>
      <c r="C59" s="8"/>
      <c r="D59" s="8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7"/>
      <c r="B60" s="8"/>
      <c r="C60" s="8"/>
      <c r="D60" s="8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7"/>
      <c r="B61" s="8"/>
      <c r="C61" s="8"/>
      <c r="D61" s="8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7"/>
      <c r="B62" s="8"/>
      <c r="C62" s="8"/>
      <c r="D62" s="8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7"/>
      <c r="B63" s="8"/>
      <c r="C63" s="8"/>
      <c r="D63" s="8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7"/>
      <c r="B64" s="8"/>
      <c r="C64" s="8"/>
      <c r="D64" s="8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7"/>
      <c r="B65" s="8"/>
      <c r="C65" s="8"/>
      <c r="D65" s="8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7"/>
      <c r="B66" s="8"/>
      <c r="C66" s="8"/>
      <c r="D66" s="8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7"/>
      <c r="B67" s="8"/>
      <c r="C67" s="8"/>
      <c r="D67" s="8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7"/>
      <c r="B68" s="8"/>
      <c r="C68" s="8"/>
      <c r="D68" s="8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7"/>
      <c r="B69" s="8"/>
      <c r="C69" s="8"/>
      <c r="D69" s="8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7"/>
      <c r="B70" s="8"/>
      <c r="C70" s="8"/>
      <c r="D70" s="8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10"/>
      <c r="B71" s="4"/>
      <c r="C71" s="4"/>
      <c r="D71" s="4"/>
      <c r="E71" s="1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10"/>
      <c r="B72" s="4"/>
      <c r="C72" s="4"/>
      <c r="D72" s="4"/>
      <c r="E72" s="1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10"/>
      <c r="B73" s="4"/>
      <c r="C73" s="4"/>
      <c r="D73" s="4"/>
      <c r="E73" s="1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10"/>
      <c r="B74" s="4"/>
      <c r="C74" s="4"/>
      <c r="D74" s="4"/>
      <c r="E74" s="1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10"/>
      <c r="B75" s="4"/>
      <c r="C75" s="4"/>
      <c r="D75" s="4"/>
      <c r="E75" s="1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10"/>
      <c r="B76" s="4"/>
      <c r="C76" s="4"/>
      <c r="D76" s="4"/>
      <c r="E76" s="1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10"/>
      <c r="B77" s="4"/>
      <c r="C77" s="4"/>
      <c r="D77" s="4"/>
      <c r="E77" s="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10"/>
      <c r="B78" s="4"/>
      <c r="C78" s="4"/>
      <c r="D78" s="4"/>
      <c r="E78" s="1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10"/>
      <c r="B79" s="4"/>
      <c r="C79" s="4"/>
      <c r="D79" s="4"/>
      <c r="E79" s="1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10"/>
      <c r="B80" s="4"/>
      <c r="C80" s="4"/>
      <c r="D80" s="4"/>
      <c r="E80" s="1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10"/>
      <c r="B81" s="4"/>
      <c r="C81" s="4"/>
      <c r="D81" s="4"/>
      <c r="E81" s="1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10"/>
      <c r="B82" s="4"/>
      <c r="C82" s="4"/>
      <c r="D82" s="4"/>
      <c r="E82" s="1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10"/>
      <c r="B83" s="4"/>
      <c r="C83" s="4"/>
      <c r="D83" s="4"/>
      <c r="E83" s="1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10"/>
      <c r="B84" s="4"/>
      <c r="C84" s="4"/>
      <c r="D84" s="4"/>
      <c r="E84" s="1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10"/>
      <c r="B85" s="4"/>
      <c r="C85" s="4"/>
      <c r="D85" s="4"/>
      <c r="E85" s="1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10"/>
      <c r="B86" s="4"/>
      <c r="C86" s="4"/>
      <c r="D86" s="4"/>
      <c r="E86" s="1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10"/>
      <c r="B87" s="4"/>
      <c r="C87" s="4"/>
      <c r="D87" s="4"/>
      <c r="E87" s="1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10"/>
      <c r="B88" s="4"/>
      <c r="C88" s="4"/>
      <c r="D88" s="4"/>
      <c r="E88" s="1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10"/>
      <c r="B89" s="4"/>
      <c r="C89" s="4"/>
      <c r="D89" s="4"/>
      <c r="E89" s="1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10"/>
      <c r="B90" s="4"/>
      <c r="C90" s="4"/>
      <c r="D90" s="4"/>
      <c r="E90" s="1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10"/>
      <c r="B91" s="4"/>
      <c r="C91" s="4"/>
      <c r="D91" s="4"/>
      <c r="E91" s="1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10"/>
      <c r="B92" s="4"/>
      <c r="C92" s="4"/>
      <c r="D92" s="4"/>
      <c r="E92" s="1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10"/>
      <c r="B93" s="4"/>
      <c r="C93" s="4"/>
      <c r="D93" s="4"/>
      <c r="E93" s="1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10"/>
      <c r="B94" s="4"/>
      <c r="C94" s="4"/>
      <c r="D94" s="4"/>
      <c r="E94" s="1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10"/>
      <c r="B95" s="4"/>
      <c r="C95" s="4"/>
      <c r="D95" s="4"/>
      <c r="E95" s="1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10"/>
      <c r="B96" s="4"/>
      <c r="C96" s="4"/>
      <c r="D96" s="4"/>
      <c r="E96" s="1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10"/>
      <c r="B97" s="4"/>
      <c r="C97" s="4"/>
      <c r="D97" s="4"/>
      <c r="E97" s="1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10"/>
      <c r="B98" s="4"/>
      <c r="C98" s="4"/>
      <c r="D98" s="4"/>
      <c r="E98" s="1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10"/>
      <c r="B99" s="4"/>
      <c r="C99" s="4"/>
      <c r="D99" s="4"/>
      <c r="E99" s="1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10"/>
      <c r="B100" s="4"/>
      <c r="C100" s="4"/>
      <c r="D100" s="4"/>
      <c r="E100" s="1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10"/>
      <c r="B101" s="4"/>
      <c r="C101" s="4"/>
      <c r="D101" s="4"/>
      <c r="E101" s="1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10"/>
      <c r="B102" s="4"/>
      <c r="C102" s="4"/>
      <c r="D102" s="4"/>
      <c r="E102" s="1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10"/>
      <c r="B103" s="4"/>
      <c r="C103" s="4"/>
      <c r="D103" s="4"/>
      <c r="E103" s="1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10"/>
      <c r="B104" s="4"/>
      <c r="C104" s="4"/>
      <c r="D104" s="4"/>
      <c r="E104" s="1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10"/>
      <c r="B105" s="4"/>
      <c r="C105" s="4"/>
      <c r="D105" s="4"/>
      <c r="E105" s="1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10"/>
      <c r="B106" s="4"/>
      <c r="C106" s="4"/>
      <c r="D106" s="4"/>
      <c r="E106" s="1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10"/>
      <c r="B107" s="4"/>
      <c r="C107" s="4"/>
      <c r="D107" s="4"/>
      <c r="E107" s="1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10"/>
      <c r="B108" s="4"/>
      <c r="C108" s="4"/>
      <c r="D108" s="4"/>
      <c r="E108" s="1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10"/>
      <c r="B109" s="4"/>
      <c r="C109" s="4"/>
      <c r="D109" s="4"/>
      <c r="E109" s="1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10"/>
      <c r="B110" s="4"/>
      <c r="C110" s="4"/>
      <c r="D110" s="4"/>
      <c r="E110" s="1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10"/>
      <c r="B111" s="4"/>
      <c r="C111" s="4"/>
      <c r="D111" s="4"/>
      <c r="E111" s="1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10"/>
      <c r="B112" s="4"/>
      <c r="C112" s="4"/>
      <c r="D112" s="4"/>
      <c r="E112" s="1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10"/>
      <c r="B113" s="4"/>
      <c r="C113" s="4"/>
      <c r="D113" s="4"/>
      <c r="E113" s="1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10"/>
      <c r="B114" s="4"/>
      <c r="C114" s="4"/>
      <c r="D114" s="4"/>
      <c r="E114" s="1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10"/>
      <c r="B115" s="4"/>
      <c r="C115" s="4"/>
      <c r="D115" s="4"/>
      <c r="E115" s="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10"/>
      <c r="B116" s="4"/>
      <c r="C116" s="4"/>
      <c r="D116" s="4"/>
      <c r="E116" s="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10"/>
      <c r="B117" s="4"/>
      <c r="C117" s="4"/>
      <c r="D117" s="4"/>
      <c r="E117" s="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10"/>
      <c r="B118" s="4"/>
      <c r="C118" s="4"/>
      <c r="D118" s="4"/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10"/>
      <c r="B119" s="4"/>
      <c r="C119" s="4"/>
      <c r="D119" s="4"/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10"/>
      <c r="B120" s="4"/>
      <c r="C120" s="4"/>
      <c r="D120" s="4"/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10"/>
      <c r="B121" s="4"/>
      <c r="C121" s="4"/>
      <c r="D121" s="4"/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10"/>
      <c r="B122" s="4"/>
      <c r="C122" s="4"/>
      <c r="D122" s="4"/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10"/>
      <c r="B123" s="4"/>
      <c r="C123" s="4"/>
      <c r="D123" s="4"/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10"/>
      <c r="B124" s="4"/>
      <c r="C124" s="4"/>
      <c r="D124" s="4"/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10"/>
      <c r="B125" s="4"/>
      <c r="C125" s="4"/>
      <c r="D125" s="4"/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10"/>
      <c r="B126" s="4"/>
      <c r="C126" s="4"/>
      <c r="D126" s="4"/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10"/>
      <c r="B127" s="4"/>
      <c r="C127" s="4"/>
      <c r="D127" s="4"/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10"/>
      <c r="B128" s="4"/>
      <c r="C128" s="4"/>
      <c r="D128" s="4"/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10"/>
      <c r="B129" s="4"/>
      <c r="C129" s="4"/>
      <c r="D129" s="4"/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10"/>
      <c r="B130" s="4"/>
      <c r="C130" s="4"/>
      <c r="D130" s="4"/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10"/>
      <c r="B131" s="4"/>
      <c r="C131" s="4"/>
      <c r="D131" s="4"/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10"/>
      <c r="B132" s="4"/>
      <c r="C132" s="4"/>
      <c r="D132" s="4"/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10"/>
      <c r="B133" s="4"/>
      <c r="C133" s="4"/>
      <c r="D133" s="4"/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10"/>
      <c r="B134" s="4"/>
      <c r="C134" s="4"/>
      <c r="D134" s="4"/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10"/>
      <c r="B135" s="4"/>
      <c r="C135" s="4"/>
      <c r="D135" s="4"/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10"/>
      <c r="B136" s="4"/>
      <c r="C136" s="4"/>
      <c r="D136" s="4"/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10"/>
      <c r="B137" s="4"/>
      <c r="C137" s="4"/>
      <c r="D137" s="4"/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10"/>
      <c r="B138" s="4"/>
      <c r="C138" s="4"/>
      <c r="D138" s="4"/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10"/>
      <c r="B139" s="4"/>
      <c r="C139" s="4"/>
      <c r="D139" s="4"/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10"/>
      <c r="B140" s="4"/>
      <c r="C140" s="4"/>
      <c r="D140" s="4"/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10"/>
      <c r="B141" s="4"/>
      <c r="C141" s="4"/>
      <c r="D141" s="4"/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10"/>
      <c r="B142" s="4"/>
      <c r="C142" s="4"/>
      <c r="D142" s="4"/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10"/>
      <c r="B143" s="4"/>
      <c r="C143" s="4"/>
      <c r="D143" s="4"/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10"/>
      <c r="B144" s="4"/>
      <c r="C144" s="4"/>
      <c r="D144" s="4"/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10"/>
      <c r="B145" s="4"/>
      <c r="C145" s="4"/>
      <c r="D145" s="4"/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10"/>
      <c r="B146" s="4"/>
      <c r="C146" s="4"/>
      <c r="D146" s="4"/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10"/>
      <c r="B147" s="4"/>
      <c r="C147" s="4"/>
      <c r="D147" s="4"/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10"/>
      <c r="B148" s="4"/>
      <c r="C148" s="4"/>
      <c r="D148" s="4"/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10"/>
      <c r="B149" s="4"/>
      <c r="C149" s="4"/>
      <c r="D149" s="4"/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10"/>
      <c r="B150" s="4"/>
      <c r="C150" s="4"/>
      <c r="D150" s="4"/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10"/>
      <c r="B151" s="4"/>
      <c r="C151" s="4"/>
      <c r="D151" s="4"/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10"/>
      <c r="B152" s="4"/>
      <c r="C152" s="4"/>
      <c r="D152" s="4"/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10"/>
      <c r="B153" s="4"/>
      <c r="C153" s="4"/>
      <c r="D153" s="4"/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10"/>
      <c r="B154" s="4"/>
      <c r="C154" s="4"/>
      <c r="D154" s="4"/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10"/>
      <c r="B155" s="4"/>
      <c r="C155" s="4"/>
      <c r="D155" s="4"/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10"/>
      <c r="B156" s="4"/>
      <c r="C156" s="4"/>
      <c r="D156" s="4"/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10"/>
      <c r="B157" s="4"/>
      <c r="C157" s="4"/>
      <c r="D157" s="4"/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10"/>
      <c r="B158" s="4"/>
      <c r="C158" s="4"/>
      <c r="D158" s="4"/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10"/>
      <c r="B159" s="4"/>
      <c r="C159" s="4"/>
      <c r="D159" s="4"/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10"/>
      <c r="B160" s="4"/>
      <c r="C160" s="4"/>
      <c r="D160" s="4"/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10"/>
      <c r="B161" s="4"/>
      <c r="C161" s="4"/>
      <c r="D161" s="4"/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10"/>
      <c r="B162" s="4"/>
      <c r="C162" s="4"/>
      <c r="D162" s="4"/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10"/>
      <c r="B163" s="4"/>
      <c r="C163" s="4"/>
      <c r="D163" s="4"/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10"/>
      <c r="B164" s="4"/>
      <c r="C164" s="4"/>
      <c r="D164" s="4"/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10"/>
      <c r="B165" s="4"/>
      <c r="C165" s="4"/>
      <c r="D165" s="4"/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10"/>
      <c r="B166" s="4"/>
      <c r="C166" s="4"/>
      <c r="D166" s="4"/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10"/>
      <c r="B167" s="4"/>
      <c r="C167" s="4"/>
      <c r="D167" s="4"/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10"/>
      <c r="B168" s="4"/>
      <c r="C168" s="4"/>
      <c r="D168" s="4"/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10"/>
      <c r="B169" s="4"/>
      <c r="C169" s="4"/>
      <c r="D169" s="4"/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10"/>
      <c r="B170" s="4"/>
      <c r="C170" s="4"/>
      <c r="D170" s="4"/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10"/>
      <c r="B171" s="4"/>
      <c r="C171" s="4"/>
      <c r="D171" s="4"/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10"/>
      <c r="B172" s="4"/>
      <c r="C172" s="4"/>
      <c r="D172" s="4"/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10"/>
      <c r="B173" s="4"/>
      <c r="C173" s="4"/>
      <c r="D173" s="4"/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10"/>
      <c r="B174" s="4"/>
      <c r="C174" s="4"/>
      <c r="D174" s="4"/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10"/>
      <c r="B175" s="4"/>
      <c r="C175" s="4"/>
      <c r="D175" s="4"/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10"/>
      <c r="B176" s="4"/>
      <c r="C176" s="4"/>
      <c r="D176" s="4"/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10"/>
      <c r="B177" s="4"/>
      <c r="C177" s="4"/>
      <c r="D177" s="4"/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10"/>
      <c r="B178" s="4"/>
      <c r="C178" s="4"/>
      <c r="D178" s="4"/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10"/>
      <c r="B179" s="4"/>
      <c r="C179" s="4"/>
      <c r="D179" s="4"/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10"/>
      <c r="B180" s="4"/>
      <c r="C180" s="4"/>
      <c r="D180" s="4"/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10"/>
      <c r="B181" s="4"/>
      <c r="C181" s="4"/>
      <c r="D181" s="4"/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10"/>
      <c r="B182" s="4"/>
      <c r="C182" s="4"/>
      <c r="D182" s="4"/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10"/>
      <c r="B183" s="4"/>
      <c r="C183" s="4"/>
      <c r="D183" s="4"/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10"/>
      <c r="B184" s="4"/>
      <c r="C184" s="4"/>
      <c r="D184" s="4"/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10"/>
      <c r="B185" s="4"/>
      <c r="C185" s="4"/>
      <c r="D185" s="4"/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10"/>
      <c r="B186" s="4"/>
      <c r="C186" s="4"/>
      <c r="D186" s="4"/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10"/>
      <c r="B187" s="4"/>
      <c r="C187" s="4"/>
      <c r="D187" s="4"/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10"/>
      <c r="B188" s="4"/>
      <c r="C188" s="4"/>
      <c r="D188" s="4"/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10"/>
      <c r="B189" s="4"/>
      <c r="C189" s="4"/>
      <c r="D189" s="4"/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10"/>
      <c r="B190" s="4"/>
      <c r="C190" s="4"/>
      <c r="D190" s="4"/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10"/>
      <c r="B191" s="4"/>
      <c r="C191" s="4"/>
      <c r="D191" s="4"/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10"/>
      <c r="B192" s="4"/>
      <c r="C192" s="4"/>
      <c r="D192" s="4"/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10"/>
      <c r="B193" s="4"/>
      <c r="C193" s="4"/>
      <c r="D193" s="4"/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10"/>
      <c r="B194" s="4"/>
      <c r="C194" s="4"/>
      <c r="D194" s="4"/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10"/>
      <c r="B195" s="4"/>
      <c r="C195" s="4"/>
      <c r="D195" s="4"/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10"/>
      <c r="B196" s="4"/>
      <c r="C196" s="4"/>
      <c r="D196" s="4"/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10"/>
      <c r="B197" s="4"/>
      <c r="C197" s="4"/>
      <c r="D197" s="4"/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10"/>
      <c r="B198" s="4"/>
      <c r="C198" s="4"/>
      <c r="D198" s="4"/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10"/>
      <c r="B199" s="4"/>
      <c r="C199" s="4"/>
      <c r="D199" s="4"/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10"/>
      <c r="B200" s="4"/>
      <c r="C200" s="4"/>
      <c r="D200" s="4"/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10"/>
      <c r="B201" s="4"/>
      <c r="C201" s="4"/>
      <c r="D201" s="4"/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10"/>
      <c r="B202" s="4"/>
      <c r="C202" s="4"/>
      <c r="D202" s="4"/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10"/>
      <c r="B203" s="4"/>
      <c r="C203" s="4"/>
      <c r="D203" s="4"/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10"/>
      <c r="B204" s="4"/>
      <c r="C204" s="4"/>
      <c r="D204" s="4"/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10"/>
      <c r="B205" s="4"/>
      <c r="C205" s="4"/>
      <c r="D205" s="4"/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10"/>
      <c r="B206" s="4"/>
      <c r="C206" s="4"/>
      <c r="D206" s="4"/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10"/>
      <c r="B207" s="4"/>
      <c r="C207" s="4"/>
      <c r="D207" s="4"/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10"/>
      <c r="B208" s="4"/>
      <c r="C208" s="4"/>
      <c r="D208" s="4"/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10"/>
      <c r="B209" s="4"/>
      <c r="C209" s="4"/>
      <c r="D209" s="4"/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10"/>
      <c r="B210" s="4"/>
      <c r="C210" s="4"/>
      <c r="D210" s="4"/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10"/>
      <c r="B211" s="4"/>
      <c r="C211" s="4"/>
      <c r="D211" s="4"/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10"/>
      <c r="B212" s="4"/>
      <c r="C212" s="4"/>
      <c r="D212" s="4"/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10"/>
      <c r="B213" s="4"/>
      <c r="C213" s="4"/>
      <c r="D213" s="4"/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10"/>
      <c r="B214" s="4"/>
      <c r="C214" s="4"/>
      <c r="D214" s="4"/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10"/>
      <c r="B215" s="4"/>
      <c r="C215" s="4"/>
      <c r="D215" s="4"/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10"/>
      <c r="B216" s="4"/>
      <c r="C216" s="4"/>
      <c r="D216" s="4"/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10"/>
      <c r="B217" s="4"/>
      <c r="C217" s="4"/>
      <c r="D217" s="4"/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10"/>
      <c r="B218" s="4"/>
      <c r="C218" s="4"/>
      <c r="D218" s="4"/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10"/>
      <c r="B219" s="4"/>
      <c r="C219" s="4"/>
      <c r="D219" s="4"/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10"/>
      <c r="B220" s="4"/>
      <c r="C220" s="4"/>
      <c r="D220" s="4"/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10"/>
      <c r="B221" s="4"/>
      <c r="C221" s="4"/>
      <c r="D221" s="4"/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10"/>
      <c r="B222" s="4"/>
      <c r="C222" s="4"/>
      <c r="D222" s="4"/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10"/>
      <c r="B223" s="4"/>
      <c r="C223" s="4"/>
      <c r="D223" s="4"/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10"/>
      <c r="B224" s="4"/>
      <c r="C224" s="4"/>
      <c r="D224" s="4"/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10"/>
      <c r="B225" s="4"/>
      <c r="C225" s="4"/>
      <c r="D225" s="4"/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10"/>
      <c r="B226" s="4"/>
      <c r="C226" s="4"/>
      <c r="D226" s="4"/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10"/>
      <c r="B227" s="4"/>
      <c r="C227" s="4"/>
      <c r="D227" s="4"/>
      <c r="E227" s="11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10"/>
      <c r="B228" s="4"/>
      <c r="C228" s="4"/>
      <c r="D228" s="4"/>
      <c r="E228" s="11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10"/>
      <c r="B229" s="4"/>
      <c r="C229" s="4"/>
      <c r="D229" s="4"/>
      <c r="E229" s="11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10"/>
      <c r="B230" s="4"/>
      <c r="C230" s="4"/>
      <c r="D230" s="4"/>
      <c r="E230" s="11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10"/>
      <c r="B231" s="4"/>
      <c r="C231" s="4"/>
      <c r="D231" s="4"/>
      <c r="E231" s="11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10"/>
      <c r="B232" s="4"/>
      <c r="C232" s="4"/>
      <c r="D232" s="4"/>
      <c r="E232" s="11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10"/>
      <c r="B233" s="4"/>
      <c r="C233" s="4"/>
      <c r="D233" s="4"/>
      <c r="E233" s="11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10"/>
      <c r="B234" s="4"/>
      <c r="C234" s="4"/>
      <c r="D234" s="4"/>
      <c r="E234" s="11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10"/>
      <c r="B235" s="4"/>
      <c r="C235" s="4"/>
      <c r="D235" s="4"/>
      <c r="E235" s="11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10"/>
      <c r="B236" s="4"/>
      <c r="C236" s="4"/>
      <c r="D236" s="4"/>
      <c r="E236" s="11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10"/>
      <c r="B237" s="4"/>
      <c r="C237" s="4"/>
      <c r="D237" s="4"/>
      <c r="E237" s="11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10"/>
      <c r="B238" s="4"/>
      <c r="C238" s="4"/>
      <c r="D238" s="4"/>
      <c r="E238" s="11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10"/>
      <c r="B239" s="4"/>
      <c r="C239" s="4"/>
      <c r="D239" s="4"/>
      <c r="E239" s="11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10"/>
      <c r="B240" s="4"/>
      <c r="C240" s="4"/>
      <c r="D240" s="4"/>
      <c r="E240" s="11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10"/>
      <c r="B241" s="4"/>
      <c r="C241" s="4"/>
      <c r="D241" s="4"/>
      <c r="E241" s="11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10"/>
      <c r="B242" s="4"/>
      <c r="C242" s="4"/>
      <c r="D242" s="4"/>
      <c r="E242" s="11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10"/>
      <c r="B243" s="4"/>
      <c r="C243" s="4"/>
      <c r="D243" s="4"/>
      <c r="E243" s="11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10"/>
      <c r="B244" s="4"/>
      <c r="C244" s="4"/>
      <c r="D244" s="4"/>
      <c r="E244" s="11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10"/>
      <c r="B245" s="4"/>
      <c r="C245" s="4"/>
      <c r="D245" s="4"/>
      <c r="E245" s="11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10"/>
      <c r="B246" s="4"/>
      <c r="C246" s="4"/>
      <c r="D246" s="4"/>
      <c r="E246" s="11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10"/>
      <c r="B247" s="4"/>
      <c r="C247" s="4"/>
      <c r="D247" s="4"/>
      <c r="E247" s="11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10"/>
      <c r="B248" s="4"/>
      <c r="C248" s="4"/>
      <c r="D248" s="4"/>
      <c r="E248" s="11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10"/>
      <c r="B249" s="4"/>
      <c r="C249" s="4"/>
      <c r="D249" s="4"/>
      <c r="E249" s="11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10"/>
      <c r="B250" s="4"/>
      <c r="C250" s="4"/>
      <c r="D250" s="4"/>
      <c r="E250" s="11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10"/>
      <c r="B251" s="4"/>
      <c r="C251" s="4"/>
      <c r="D251" s="4"/>
      <c r="E251" s="11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10"/>
      <c r="B252" s="4"/>
      <c r="C252" s="4"/>
      <c r="D252" s="4"/>
      <c r="E252" s="11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10"/>
      <c r="B253" s="4"/>
      <c r="C253" s="4"/>
      <c r="D253" s="4"/>
      <c r="E253" s="11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10"/>
      <c r="B254" s="4"/>
      <c r="C254" s="4"/>
      <c r="D254" s="4"/>
      <c r="E254" s="11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10"/>
      <c r="B255" s="4"/>
      <c r="C255" s="4"/>
      <c r="D255" s="4"/>
      <c r="E255" s="11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10"/>
      <c r="B256" s="4"/>
      <c r="C256" s="4"/>
      <c r="D256" s="4"/>
      <c r="E256" s="11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10"/>
      <c r="B257" s="4"/>
      <c r="C257" s="4"/>
      <c r="D257" s="4"/>
      <c r="E257" s="11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10"/>
      <c r="B258" s="4"/>
      <c r="C258" s="4"/>
      <c r="D258" s="4"/>
      <c r="E258" s="11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10"/>
      <c r="B259" s="4"/>
      <c r="C259" s="4"/>
      <c r="D259" s="4"/>
      <c r="E259" s="11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10"/>
      <c r="B260" s="4"/>
      <c r="C260" s="4"/>
      <c r="D260" s="4"/>
      <c r="E260" s="11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10"/>
      <c r="B261" s="4"/>
      <c r="C261" s="4"/>
      <c r="D261" s="4"/>
      <c r="E261" s="11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10"/>
      <c r="B262" s="4"/>
      <c r="C262" s="4"/>
      <c r="D262" s="4"/>
      <c r="E262" s="11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10"/>
      <c r="B263" s="4"/>
      <c r="C263" s="4"/>
      <c r="D263" s="4"/>
      <c r="E263" s="11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10"/>
      <c r="B264" s="4"/>
      <c r="C264" s="4"/>
      <c r="D264" s="4"/>
      <c r="E264" s="11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10"/>
      <c r="B265" s="4"/>
      <c r="C265" s="4"/>
      <c r="D265" s="4"/>
      <c r="E265" s="11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10"/>
      <c r="B266" s="4"/>
      <c r="C266" s="4"/>
      <c r="D266" s="4"/>
      <c r="E266" s="11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10"/>
      <c r="B267" s="4"/>
      <c r="C267" s="4"/>
      <c r="D267" s="4"/>
      <c r="E267" s="11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10"/>
      <c r="B268" s="4"/>
      <c r="C268" s="4"/>
      <c r="D268" s="4"/>
      <c r="E268" s="11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10"/>
      <c r="B269" s="4"/>
      <c r="C269" s="4"/>
      <c r="D269" s="4"/>
      <c r="E269" s="11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10"/>
      <c r="B270" s="4"/>
      <c r="C270" s="4"/>
      <c r="D270" s="4"/>
      <c r="E270" s="11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10"/>
      <c r="B271" s="4"/>
      <c r="C271" s="4"/>
      <c r="D271" s="4"/>
      <c r="E271" s="11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10"/>
      <c r="B272" s="4"/>
      <c r="C272" s="4"/>
      <c r="D272" s="4"/>
      <c r="E272" s="11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10"/>
      <c r="B273" s="4"/>
      <c r="C273" s="4"/>
      <c r="D273" s="4"/>
      <c r="E273" s="11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10"/>
      <c r="B274" s="4"/>
      <c r="C274" s="4"/>
      <c r="D274" s="4"/>
      <c r="E274" s="11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10"/>
      <c r="B275" s="4"/>
      <c r="C275" s="4"/>
      <c r="D275" s="4"/>
      <c r="E275" s="11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10"/>
      <c r="B276" s="4"/>
      <c r="C276" s="4"/>
      <c r="D276" s="4"/>
      <c r="E276" s="11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10"/>
      <c r="B277" s="4"/>
      <c r="C277" s="4"/>
      <c r="D277" s="4"/>
      <c r="E277" s="11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10"/>
      <c r="B278" s="4"/>
      <c r="C278" s="4"/>
      <c r="D278" s="4"/>
      <c r="E278" s="11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10"/>
      <c r="B279" s="4"/>
      <c r="C279" s="4"/>
      <c r="D279" s="4"/>
      <c r="E279" s="11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10"/>
      <c r="B280" s="4"/>
      <c r="C280" s="4"/>
      <c r="D280" s="4"/>
      <c r="E280" s="11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10"/>
      <c r="B281" s="4"/>
      <c r="C281" s="4"/>
      <c r="D281" s="4"/>
      <c r="E281" s="11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0"/>
      <c r="B282" s="4"/>
      <c r="C282" s="4"/>
      <c r="D282" s="4"/>
      <c r="E282" s="11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0"/>
      <c r="B283" s="4"/>
      <c r="C283" s="4"/>
      <c r="D283" s="4"/>
      <c r="E283" s="11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0"/>
      <c r="B284" s="4"/>
      <c r="C284" s="4"/>
      <c r="D284" s="4"/>
      <c r="E284" s="11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0"/>
      <c r="B285" s="4"/>
      <c r="C285" s="4"/>
      <c r="D285" s="4"/>
      <c r="E285" s="11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0"/>
      <c r="B286" s="4"/>
      <c r="C286" s="4"/>
      <c r="D286" s="4"/>
      <c r="E286" s="11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0"/>
      <c r="B287" s="4"/>
      <c r="C287" s="4"/>
      <c r="D287" s="4"/>
      <c r="E287" s="11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0"/>
      <c r="B288" s="4"/>
      <c r="C288" s="4"/>
      <c r="D288" s="4"/>
      <c r="E288" s="11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0"/>
      <c r="B289" s="4"/>
      <c r="C289" s="4"/>
      <c r="D289" s="4"/>
      <c r="E289" s="11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10"/>
      <c r="B290" s="4"/>
      <c r="C290" s="4"/>
      <c r="D290" s="4"/>
      <c r="E290" s="11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75" customHeight="1">
      <c r="A291" s="10"/>
      <c r="B291" s="4"/>
      <c r="C291" s="4"/>
      <c r="D291" s="4"/>
      <c r="E291" s="11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75" customHeight="1">
      <c r="A292" s="10"/>
      <c r="B292" s="4"/>
      <c r="C292" s="4"/>
      <c r="D292" s="4"/>
      <c r="E292" s="11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75" customHeight="1">
      <c r="A293" s="10"/>
      <c r="B293" s="4"/>
      <c r="C293" s="4"/>
      <c r="D293" s="4"/>
      <c r="E293" s="11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75" customHeight="1">
      <c r="A294" s="10"/>
      <c r="B294" s="4"/>
      <c r="C294" s="4"/>
      <c r="D294" s="4"/>
      <c r="E294" s="11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75" customHeight="1">
      <c r="A295" s="10"/>
      <c r="B295" s="4"/>
      <c r="C295" s="4"/>
      <c r="D295" s="4"/>
      <c r="E295" s="11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75" customHeight="1">
      <c r="A296" s="10"/>
      <c r="B296" s="4"/>
      <c r="C296" s="4"/>
      <c r="D296" s="4"/>
      <c r="E296" s="11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75" customHeight="1">
      <c r="A297" s="10"/>
      <c r="B297" s="4"/>
      <c r="C297" s="4"/>
      <c r="D297" s="4"/>
      <c r="E297" s="11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75" customHeight="1">
      <c r="A298" s="10"/>
      <c r="B298" s="4"/>
      <c r="C298" s="4"/>
      <c r="D298" s="4"/>
      <c r="E298" s="11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75" customHeight="1">
      <c r="A299" s="10"/>
      <c r="B299" s="4"/>
      <c r="C299" s="4"/>
      <c r="D299" s="4"/>
      <c r="E299" s="11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75" customHeight="1">
      <c r="A300" s="10"/>
      <c r="B300" s="4"/>
      <c r="C300" s="4"/>
      <c r="D300" s="4"/>
      <c r="E300" s="11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75" customHeight="1">
      <c r="A301" s="10"/>
      <c r="B301" s="4"/>
      <c r="C301" s="4"/>
      <c r="D301" s="4"/>
      <c r="E301" s="11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75" customHeight="1">
      <c r="A302" s="10"/>
      <c r="B302" s="4"/>
      <c r="C302" s="4"/>
      <c r="D302" s="4"/>
      <c r="E302" s="11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75" customHeight="1">
      <c r="A303" s="10"/>
      <c r="B303" s="4"/>
      <c r="C303" s="4"/>
      <c r="D303" s="4"/>
      <c r="E303" s="11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75" customHeight="1">
      <c r="A304" s="10"/>
      <c r="B304" s="4"/>
      <c r="C304" s="4"/>
      <c r="D304" s="4"/>
      <c r="E304" s="11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75" customHeight="1">
      <c r="A305" s="10"/>
      <c r="B305" s="4"/>
      <c r="C305" s="4"/>
      <c r="D305" s="4"/>
      <c r="E305" s="11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75" customHeight="1">
      <c r="A306" s="10"/>
      <c r="B306" s="4"/>
      <c r="C306" s="4"/>
      <c r="D306" s="4"/>
      <c r="E306" s="11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75" customHeight="1">
      <c r="A307" s="10"/>
      <c r="B307" s="4"/>
      <c r="C307" s="4"/>
      <c r="D307" s="4"/>
      <c r="E307" s="11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75" customHeight="1">
      <c r="A308" s="10"/>
      <c r="B308" s="4"/>
      <c r="C308" s="4"/>
      <c r="D308" s="4"/>
      <c r="E308" s="11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75" customHeight="1">
      <c r="A309" s="10"/>
      <c r="B309" s="4"/>
      <c r="C309" s="4"/>
      <c r="D309" s="4"/>
      <c r="E309" s="11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75" customHeight="1">
      <c r="A310" s="10"/>
      <c r="B310" s="4"/>
      <c r="C310" s="4"/>
      <c r="D310" s="4"/>
      <c r="E310" s="11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75" customHeight="1">
      <c r="A311" s="10"/>
      <c r="B311" s="4"/>
      <c r="C311" s="4"/>
      <c r="D311" s="4"/>
      <c r="E311" s="11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75" customHeight="1">
      <c r="A312" s="10"/>
      <c r="B312" s="4"/>
      <c r="C312" s="4"/>
      <c r="D312" s="4"/>
      <c r="E312" s="11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75" customHeight="1">
      <c r="A313" s="10"/>
      <c r="B313" s="4"/>
      <c r="C313" s="4"/>
      <c r="D313" s="4"/>
      <c r="E313" s="11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75" customHeight="1">
      <c r="A314" s="10"/>
      <c r="B314" s="4"/>
      <c r="C314" s="4"/>
      <c r="D314" s="4"/>
      <c r="E314" s="11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75" customHeight="1">
      <c r="A315" s="10"/>
      <c r="B315" s="4"/>
      <c r="C315" s="4"/>
      <c r="D315" s="4"/>
      <c r="E315" s="11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75" customHeight="1">
      <c r="A316" s="10"/>
      <c r="B316" s="4"/>
      <c r="C316" s="4"/>
      <c r="D316" s="4"/>
      <c r="E316" s="11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75" customHeight="1">
      <c r="A317" s="10"/>
      <c r="B317" s="4"/>
      <c r="C317" s="4"/>
      <c r="D317" s="4"/>
      <c r="E317" s="11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75" customHeight="1">
      <c r="A318" s="10"/>
      <c r="B318" s="4"/>
      <c r="C318" s="4"/>
      <c r="D318" s="4"/>
      <c r="E318" s="11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75" customHeight="1">
      <c r="A319" s="10"/>
      <c r="B319" s="4"/>
      <c r="C319" s="4"/>
      <c r="D319" s="4"/>
      <c r="E319" s="11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75" customHeight="1">
      <c r="A320" s="10"/>
      <c r="B320" s="4"/>
      <c r="C320" s="4"/>
      <c r="D320" s="4"/>
      <c r="E320" s="11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75" customHeight="1">
      <c r="A321" s="10"/>
      <c r="B321" s="4"/>
      <c r="C321" s="4"/>
      <c r="D321" s="4"/>
      <c r="E321" s="11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75" customHeight="1">
      <c r="A322" s="10"/>
      <c r="B322" s="4"/>
      <c r="C322" s="4"/>
      <c r="D322" s="4"/>
      <c r="E322" s="11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75" customHeight="1">
      <c r="A323" s="10"/>
      <c r="B323" s="4"/>
      <c r="C323" s="4"/>
      <c r="D323" s="4"/>
      <c r="E323" s="11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75" customHeight="1">
      <c r="A324" s="10"/>
      <c r="B324" s="4"/>
      <c r="C324" s="4"/>
      <c r="D324" s="4"/>
      <c r="E324" s="11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75" customHeight="1">
      <c r="A325" s="10"/>
      <c r="B325" s="4"/>
      <c r="C325" s="4"/>
      <c r="D325" s="4"/>
      <c r="E325" s="11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75" customHeight="1">
      <c r="A326" s="10"/>
      <c r="B326" s="4"/>
      <c r="C326" s="4"/>
      <c r="D326" s="4"/>
      <c r="E326" s="11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75" customHeight="1">
      <c r="A327" s="10"/>
      <c r="B327" s="4"/>
      <c r="C327" s="4"/>
      <c r="D327" s="4"/>
      <c r="E327" s="11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75" customHeight="1">
      <c r="A328" s="10"/>
      <c r="B328" s="4"/>
      <c r="C328" s="4"/>
      <c r="D328" s="4"/>
      <c r="E328" s="11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75" customHeight="1">
      <c r="A329" s="10"/>
      <c r="B329" s="4"/>
      <c r="C329" s="4"/>
      <c r="D329" s="4"/>
      <c r="E329" s="11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75" customHeight="1">
      <c r="A330" s="10"/>
      <c r="B330" s="4"/>
      <c r="C330" s="4"/>
      <c r="D330" s="4"/>
      <c r="E330" s="11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75" customHeight="1">
      <c r="A331" s="10"/>
      <c r="B331" s="4"/>
      <c r="C331" s="4"/>
      <c r="D331" s="4"/>
      <c r="E331" s="11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75" customHeight="1">
      <c r="A332" s="10"/>
      <c r="B332" s="4"/>
      <c r="C332" s="4"/>
      <c r="D332" s="4"/>
      <c r="E332" s="11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75" customHeight="1">
      <c r="A333" s="10"/>
      <c r="B333" s="4"/>
      <c r="C333" s="4"/>
      <c r="D333" s="4"/>
      <c r="E333" s="11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75" customHeight="1">
      <c r="A334" s="10"/>
      <c r="B334" s="4"/>
      <c r="C334" s="4"/>
      <c r="D334" s="4"/>
      <c r="E334" s="11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75" customHeight="1">
      <c r="A335" s="10"/>
      <c r="B335" s="4"/>
      <c r="C335" s="4"/>
      <c r="D335" s="4"/>
      <c r="E335" s="11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75" customHeight="1">
      <c r="A336" s="10"/>
      <c r="B336" s="4"/>
      <c r="C336" s="4"/>
      <c r="D336" s="4"/>
      <c r="E336" s="11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75" customHeight="1">
      <c r="A337" s="10"/>
      <c r="B337" s="4"/>
      <c r="C337" s="4"/>
      <c r="D337" s="4"/>
      <c r="E337" s="11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75" customHeight="1">
      <c r="A338" s="10"/>
      <c r="B338" s="4"/>
      <c r="C338" s="4"/>
      <c r="D338" s="4"/>
      <c r="E338" s="11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75" customHeight="1">
      <c r="A339" s="10"/>
      <c r="B339" s="4"/>
      <c r="C339" s="4"/>
      <c r="D339" s="4"/>
      <c r="E339" s="11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75" customHeight="1">
      <c r="A340" s="10"/>
      <c r="B340" s="4"/>
      <c r="C340" s="4"/>
      <c r="D340" s="4"/>
      <c r="E340" s="11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75" customHeight="1">
      <c r="A341" s="10"/>
      <c r="B341" s="4"/>
      <c r="C341" s="4"/>
      <c r="D341" s="4"/>
      <c r="E341" s="11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75" customHeight="1">
      <c r="A342" s="10"/>
      <c r="B342" s="4"/>
      <c r="C342" s="4"/>
      <c r="D342" s="4"/>
      <c r="E342" s="11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75" customHeight="1">
      <c r="A343" s="10"/>
      <c r="B343" s="4"/>
      <c r="C343" s="4"/>
      <c r="D343" s="4"/>
      <c r="E343" s="11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75" customHeight="1">
      <c r="A344" s="10"/>
      <c r="B344" s="4"/>
      <c r="C344" s="4"/>
      <c r="D344" s="4"/>
      <c r="E344" s="11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75" customHeight="1">
      <c r="A345" s="10"/>
      <c r="B345" s="4"/>
      <c r="C345" s="4"/>
      <c r="D345" s="4"/>
      <c r="E345" s="11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75" customHeight="1">
      <c r="A346" s="10"/>
      <c r="B346" s="4"/>
      <c r="C346" s="4"/>
      <c r="D346" s="4"/>
      <c r="E346" s="11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75" customHeight="1">
      <c r="A347" s="10"/>
      <c r="B347" s="4"/>
      <c r="C347" s="4"/>
      <c r="D347" s="4"/>
      <c r="E347" s="11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75" customHeight="1">
      <c r="A348" s="10"/>
      <c r="B348" s="4"/>
      <c r="C348" s="4"/>
      <c r="D348" s="4"/>
      <c r="E348" s="11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75" customHeight="1">
      <c r="A349" s="10"/>
      <c r="B349" s="4"/>
      <c r="C349" s="4"/>
      <c r="D349" s="4"/>
      <c r="E349" s="11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75" customHeight="1">
      <c r="A350" s="10"/>
      <c r="B350" s="4"/>
      <c r="C350" s="4"/>
      <c r="D350" s="4"/>
      <c r="E350" s="11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75" customHeight="1">
      <c r="A351" s="10"/>
      <c r="B351" s="4"/>
      <c r="C351" s="4"/>
      <c r="D351" s="4"/>
      <c r="E351" s="11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75" customHeight="1">
      <c r="A352" s="10"/>
      <c r="B352" s="4"/>
      <c r="C352" s="4"/>
      <c r="D352" s="4"/>
      <c r="E352" s="11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75" customHeight="1">
      <c r="A353" s="10"/>
      <c r="B353" s="4"/>
      <c r="C353" s="4"/>
      <c r="D353" s="4"/>
      <c r="E353" s="11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75" customHeight="1">
      <c r="A354" s="10"/>
      <c r="B354" s="4"/>
      <c r="C354" s="4"/>
      <c r="D354" s="4"/>
      <c r="E354" s="11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75" customHeight="1">
      <c r="A355" s="10"/>
      <c r="B355" s="4"/>
      <c r="C355" s="4"/>
      <c r="D355" s="4"/>
      <c r="E355" s="11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75" customHeight="1">
      <c r="A356" s="10"/>
      <c r="B356" s="4"/>
      <c r="C356" s="4"/>
      <c r="D356" s="4"/>
      <c r="E356" s="11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75" customHeight="1">
      <c r="A357" s="10"/>
      <c r="B357" s="4"/>
      <c r="C357" s="4"/>
      <c r="D357" s="4"/>
      <c r="E357" s="11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75" customHeight="1">
      <c r="A358" s="10"/>
      <c r="B358" s="4"/>
      <c r="C358" s="4"/>
      <c r="D358" s="4"/>
      <c r="E358" s="11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75" customHeight="1">
      <c r="A359" s="10"/>
      <c r="B359" s="4"/>
      <c r="C359" s="4"/>
      <c r="D359" s="4"/>
      <c r="E359" s="11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75" customHeight="1">
      <c r="A360" s="10"/>
      <c r="B360" s="4"/>
      <c r="C360" s="4"/>
      <c r="D360" s="4"/>
      <c r="E360" s="11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75" customHeight="1">
      <c r="A361" s="10"/>
      <c r="B361" s="4"/>
      <c r="C361" s="4"/>
      <c r="D361" s="4"/>
      <c r="E361" s="11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75" customHeight="1">
      <c r="A362" s="10"/>
      <c r="B362" s="4"/>
      <c r="C362" s="4"/>
      <c r="D362" s="4"/>
      <c r="E362" s="11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75" customHeight="1">
      <c r="A363" s="10"/>
      <c r="B363" s="4"/>
      <c r="C363" s="4"/>
      <c r="D363" s="4"/>
      <c r="E363" s="11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75" customHeight="1">
      <c r="A364" s="10"/>
      <c r="B364" s="4"/>
      <c r="C364" s="4"/>
      <c r="D364" s="4"/>
      <c r="E364" s="11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75" customHeight="1">
      <c r="A365" s="10"/>
      <c r="B365" s="4"/>
      <c r="C365" s="4"/>
      <c r="D365" s="4"/>
      <c r="E365" s="11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75" customHeight="1">
      <c r="A366" s="10"/>
      <c r="B366" s="4"/>
      <c r="C366" s="4"/>
      <c r="D366" s="4"/>
      <c r="E366" s="11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75" customHeight="1">
      <c r="A367" s="10"/>
      <c r="B367" s="4"/>
      <c r="C367" s="4"/>
      <c r="D367" s="4"/>
      <c r="E367" s="11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75" customHeight="1">
      <c r="A368" s="10"/>
      <c r="B368" s="4"/>
      <c r="C368" s="4"/>
      <c r="D368" s="4"/>
      <c r="E368" s="11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75" customHeight="1">
      <c r="A369" s="10"/>
      <c r="B369" s="4"/>
      <c r="C369" s="4"/>
      <c r="D369" s="4"/>
      <c r="E369" s="11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75" customHeight="1">
      <c r="A370" s="10"/>
      <c r="B370" s="4"/>
      <c r="C370" s="4"/>
      <c r="D370" s="4"/>
      <c r="E370" s="11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75" customHeight="1">
      <c r="A371" s="10"/>
      <c r="B371" s="4"/>
      <c r="C371" s="4"/>
      <c r="D371" s="4"/>
      <c r="E371" s="11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75" customHeight="1">
      <c r="A372" s="10"/>
      <c r="B372" s="4"/>
      <c r="C372" s="4"/>
      <c r="D372" s="4"/>
      <c r="E372" s="11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75" customHeight="1">
      <c r="A373" s="10"/>
      <c r="B373" s="4"/>
      <c r="C373" s="4"/>
      <c r="D373" s="4"/>
      <c r="E373" s="11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75" customHeight="1">
      <c r="A374" s="10"/>
      <c r="B374" s="4"/>
      <c r="C374" s="4"/>
      <c r="D374" s="4"/>
      <c r="E374" s="11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75" customHeight="1">
      <c r="A375" s="10"/>
      <c r="B375" s="4"/>
      <c r="C375" s="4"/>
      <c r="D375" s="4"/>
      <c r="E375" s="11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75" customHeight="1">
      <c r="A376" s="10"/>
      <c r="B376" s="4"/>
      <c r="C376" s="4"/>
      <c r="D376" s="4"/>
      <c r="E376" s="11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75" customHeight="1">
      <c r="A377" s="10"/>
      <c r="B377" s="4"/>
      <c r="C377" s="4"/>
      <c r="D377" s="4"/>
      <c r="E377" s="11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75" customHeight="1">
      <c r="A378" s="10"/>
      <c r="B378" s="4"/>
      <c r="C378" s="4"/>
      <c r="D378" s="4"/>
      <c r="E378" s="11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75" customHeight="1">
      <c r="A379" s="10"/>
      <c r="B379" s="4"/>
      <c r="C379" s="4"/>
      <c r="D379" s="4"/>
      <c r="E379" s="11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75" customHeight="1">
      <c r="A380" s="10"/>
      <c r="B380" s="4"/>
      <c r="C380" s="4"/>
      <c r="D380" s="4"/>
      <c r="E380" s="11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75" customHeight="1">
      <c r="A381" s="10"/>
      <c r="B381" s="4"/>
      <c r="C381" s="4"/>
      <c r="D381" s="4"/>
      <c r="E381" s="11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75" customHeight="1">
      <c r="A382" s="10"/>
      <c r="B382" s="4"/>
      <c r="C382" s="4"/>
      <c r="D382" s="4"/>
      <c r="E382" s="11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75" customHeight="1">
      <c r="A383" s="10"/>
      <c r="B383" s="4"/>
      <c r="C383" s="4"/>
      <c r="D383" s="4"/>
      <c r="E383" s="11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75" customHeight="1">
      <c r="A384" s="10"/>
      <c r="B384" s="4"/>
      <c r="C384" s="4"/>
      <c r="D384" s="4"/>
      <c r="E384" s="11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75" customHeight="1">
      <c r="A385" s="10"/>
      <c r="B385" s="4"/>
      <c r="C385" s="4"/>
      <c r="D385" s="4"/>
      <c r="E385" s="11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75" customHeight="1">
      <c r="A386" s="10"/>
      <c r="B386" s="4"/>
      <c r="C386" s="4"/>
      <c r="D386" s="4"/>
      <c r="E386" s="11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75" customHeight="1">
      <c r="A387" s="10"/>
      <c r="B387" s="4"/>
      <c r="C387" s="4"/>
      <c r="D387" s="4"/>
      <c r="E387" s="11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75" customHeight="1">
      <c r="A388" s="10"/>
      <c r="B388" s="4"/>
      <c r="C388" s="4"/>
      <c r="D388" s="4"/>
      <c r="E388" s="11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75" customHeight="1">
      <c r="A389" s="10"/>
      <c r="B389" s="4"/>
      <c r="C389" s="4"/>
      <c r="D389" s="4"/>
      <c r="E389" s="11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75" customHeight="1">
      <c r="A390" s="10"/>
      <c r="B390" s="4"/>
      <c r="C390" s="4"/>
      <c r="D390" s="4"/>
      <c r="E390" s="11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75" customHeight="1">
      <c r="A391" s="10"/>
      <c r="B391" s="4"/>
      <c r="C391" s="4"/>
      <c r="D391" s="4"/>
      <c r="E391" s="11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75" customHeight="1">
      <c r="A392" s="10"/>
      <c r="B392" s="4"/>
      <c r="C392" s="4"/>
      <c r="D392" s="4"/>
      <c r="E392" s="11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75" customHeight="1">
      <c r="A393" s="10"/>
      <c r="B393" s="4"/>
      <c r="C393" s="4"/>
      <c r="D393" s="4"/>
      <c r="E393" s="11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75" customHeight="1">
      <c r="A394" s="10"/>
      <c r="B394" s="4"/>
      <c r="C394" s="4"/>
      <c r="D394" s="4"/>
      <c r="E394" s="11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75" customHeight="1">
      <c r="A395" s="10"/>
      <c r="B395" s="4"/>
      <c r="C395" s="4"/>
      <c r="D395" s="4"/>
      <c r="E395" s="11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75" customHeight="1">
      <c r="A396" s="10"/>
      <c r="B396" s="4"/>
      <c r="C396" s="4"/>
      <c r="D396" s="4"/>
      <c r="E396" s="11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75" customHeight="1">
      <c r="A397" s="10"/>
      <c r="B397" s="4"/>
      <c r="C397" s="4"/>
      <c r="D397" s="4"/>
      <c r="E397" s="11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75" customHeight="1">
      <c r="A398" s="10"/>
      <c r="B398" s="4"/>
      <c r="C398" s="4"/>
      <c r="D398" s="4"/>
      <c r="E398" s="11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75" customHeight="1">
      <c r="A399" s="10"/>
      <c r="B399" s="4"/>
      <c r="C399" s="4"/>
      <c r="D399" s="4"/>
      <c r="E399" s="11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75" customHeight="1">
      <c r="A400" s="10"/>
      <c r="B400" s="4"/>
      <c r="C400" s="4"/>
      <c r="D400" s="4"/>
      <c r="E400" s="11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75" customHeight="1">
      <c r="A401" s="10"/>
      <c r="B401" s="4"/>
      <c r="C401" s="4"/>
      <c r="D401" s="4"/>
      <c r="E401" s="11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75" customHeight="1">
      <c r="A402" s="10"/>
      <c r="B402" s="4"/>
      <c r="C402" s="4"/>
      <c r="D402" s="4"/>
      <c r="E402" s="11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75" customHeight="1">
      <c r="A403" s="10"/>
      <c r="B403" s="4"/>
      <c r="C403" s="4"/>
      <c r="D403" s="4"/>
      <c r="E403" s="11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75" customHeight="1">
      <c r="A404" s="10"/>
      <c r="B404" s="4"/>
      <c r="C404" s="4"/>
      <c r="D404" s="4"/>
      <c r="E404" s="11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75" customHeight="1">
      <c r="A405" s="10"/>
      <c r="B405" s="4"/>
      <c r="C405" s="4"/>
      <c r="D405" s="4"/>
      <c r="E405" s="11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75" customHeight="1">
      <c r="A406" s="10"/>
      <c r="B406" s="4"/>
      <c r="C406" s="4"/>
      <c r="D406" s="4"/>
      <c r="E406" s="11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75" customHeight="1">
      <c r="A407" s="10"/>
      <c r="B407" s="4"/>
      <c r="C407" s="4"/>
      <c r="D407" s="4"/>
      <c r="E407" s="11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75" customHeight="1">
      <c r="A408" s="10"/>
      <c r="B408" s="4"/>
      <c r="C408" s="4"/>
      <c r="D408" s="4"/>
      <c r="E408" s="11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75" customHeight="1">
      <c r="A409" s="10"/>
      <c r="B409" s="4"/>
      <c r="C409" s="4"/>
      <c r="D409" s="4"/>
      <c r="E409" s="11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75" customHeight="1">
      <c r="A410" s="10"/>
      <c r="B410" s="4"/>
      <c r="C410" s="4"/>
      <c r="D410" s="4"/>
      <c r="E410" s="11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75" customHeight="1">
      <c r="A411" s="10"/>
      <c r="B411" s="4"/>
      <c r="C411" s="4"/>
      <c r="D411" s="4"/>
      <c r="E411" s="11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75" customHeight="1">
      <c r="A412" s="10"/>
      <c r="B412" s="4"/>
      <c r="C412" s="4"/>
      <c r="D412" s="4"/>
      <c r="E412" s="11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75" customHeight="1">
      <c r="A413" s="10"/>
      <c r="B413" s="4"/>
      <c r="C413" s="4"/>
      <c r="D413" s="4"/>
      <c r="E413" s="11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75" customHeight="1">
      <c r="A414" s="10"/>
      <c r="B414" s="4"/>
      <c r="C414" s="4"/>
      <c r="D414" s="4"/>
      <c r="E414" s="11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75" customHeight="1">
      <c r="A415" s="10"/>
      <c r="B415" s="4"/>
      <c r="C415" s="4"/>
      <c r="D415" s="4"/>
      <c r="E415" s="11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75" customHeight="1">
      <c r="A416" s="10"/>
      <c r="B416" s="4"/>
      <c r="C416" s="4"/>
      <c r="D416" s="4"/>
      <c r="E416" s="11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75" customHeight="1">
      <c r="A417" s="10"/>
      <c r="B417" s="4"/>
      <c r="C417" s="4"/>
      <c r="D417" s="4"/>
      <c r="E417" s="11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75" customHeight="1">
      <c r="A418" s="10"/>
      <c r="B418" s="4"/>
      <c r="C418" s="4"/>
      <c r="D418" s="4"/>
      <c r="E418" s="11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75" customHeight="1">
      <c r="A419" s="10"/>
      <c r="B419" s="4"/>
      <c r="C419" s="4"/>
      <c r="D419" s="4"/>
      <c r="E419" s="11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75" customHeight="1">
      <c r="A420" s="10"/>
      <c r="B420" s="4"/>
      <c r="C420" s="4"/>
      <c r="D420" s="4"/>
      <c r="E420" s="11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75" customHeight="1">
      <c r="A421" s="10"/>
      <c r="B421" s="4"/>
      <c r="C421" s="4"/>
      <c r="D421" s="4"/>
      <c r="E421" s="11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75" customHeight="1">
      <c r="A422" s="10"/>
      <c r="B422" s="4"/>
      <c r="C422" s="4"/>
      <c r="D422" s="4"/>
      <c r="E422" s="11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75" customHeight="1">
      <c r="A423" s="10"/>
      <c r="B423" s="4"/>
      <c r="C423" s="4"/>
      <c r="D423" s="4"/>
      <c r="E423" s="11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75" customHeight="1">
      <c r="A424" s="10"/>
      <c r="B424" s="4"/>
      <c r="C424" s="4"/>
      <c r="D424" s="4"/>
      <c r="E424" s="11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75" customHeight="1">
      <c r="A425" s="10"/>
      <c r="B425" s="4"/>
      <c r="C425" s="4"/>
      <c r="D425" s="4"/>
      <c r="E425" s="11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75" customHeight="1">
      <c r="A426" s="10"/>
      <c r="B426" s="4"/>
      <c r="C426" s="4"/>
      <c r="D426" s="4"/>
      <c r="E426" s="11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75" customHeight="1">
      <c r="A427" s="10"/>
      <c r="B427" s="4"/>
      <c r="C427" s="4"/>
      <c r="D427" s="4"/>
      <c r="E427" s="11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75" customHeight="1">
      <c r="A428" s="10"/>
      <c r="B428" s="4"/>
      <c r="C428" s="4"/>
      <c r="D428" s="4"/>
      <c r="E428" s="11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75" customHeight="1">
      <c r="A429" s="10"/>
      <c r="B429" s="4"/>
      <c r="C429" s="4"/>
      <c r="D429" s="4"/>
      <c r="E429" s="11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75" customHeight="1">
      <c r="A430" s="10"/>
      <c r="B430" s="4"/>
      <c r="C430" s="4"/>
      <c r="D430" s="4"/>
      <c r="E430" s="11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75" customHeight="1">
      <c r="A431" s="10"/>
      <c r="B431" s="4"/>
      <c r="C431" s="4"/>
      <c r="D431" s="4"/>
      <c r="E431" s="11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75" customHeight="1">
      <c r="A432" s="10"/>
      <c r="B432" s="4"/>
      <c r="C432" s="4"/>
      <c r="D432" s="4"/>
      <c r="E432" s="11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75" customHeight="1">
      <c r="A433" s="10"/>
      <c r="B433" s="4"/>
      <c r="C433" s="4"/>
      <c r="D433" s="4"/>
      <c r="E433" s="11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75" customHeight="1">
      <c r="A434" s="10"/>
      <c r="B434" s="4"/>
      <c r="C434" s="4"/>
      <c r="D434" s="4"/>
      <c r="E434" s="11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75" customHeight="1">
      <c r="A435" s="10"/>
      <c r="B435" s="4"/>
      <c r="C435" s="4"/>
      <c r="D435" s="4"/>
      <c r="E435" s="11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75" customHeight="1">
      <c r="A436" s="10"/>
      <c r="B436" s="4"/>
      <c r="C436" s="4"/>
      <c r="D436" s="4"/>
      <c r="E436" s="11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75" customHeight="1">
      <c r="A437" s="10"/>
      <c r="B437" s="4"/>
      <c r="C437" s="4"/>
      <c r="D437" s="4"/>
      <c r="E437" s="11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75" customHeight="1">
      <c r="A438" s="10"/>
      <c r="B438" s="4"/>
      <c r="C438" s="4"/>
      <c r="D438" s="4"/>
      <c r="E438" s="11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75" customHeight="1">
      <c r="A439" s="10"/>
      <c r="B439" s="4"/>
      <c r="C439" s="4"/>
      <c r="D439" s="4"/>
      <c r="E439" s="11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75" customHeight="1">
      <c r="A440" s="10"/>
      <c r="B440" s="4"/>
      <c r="C440" s="4"/>
      <c r="D440" s="4"/>
      <c r="E440" s="11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75" customHeight="1">
      <c r="A441" s="10"/>
      <c r="B441" s="4"/>
      <c r="C441" s="4"/>
      <c r="D441" s="4"/>
      <c r="E441" s="11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75" customHeight="1">
      <c r="A442" s="10"/>
      <c r="B442" s="4"/>
      <c r="C442" s="4"/>
      <c r="D442" s="4"/>
      <c r="E442" s="11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75" customHeight="1">
      <c r="A443" s="10"/>
      <c r="B443" s="4"/>
      <c r="C443" s="4"/>
      <c r="D443" s="4"/>
      <c r="E443" s="11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75" customHeight="1">
      <c r="A444" s="10"/>
      <c r="B444" s="4"/>
      <c r="C444" s="4"/>
      <c r="D444" s="4"/>
      <c r="E444" s="11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75" customHeight="1">
      <c r="A445" s="10"/>
      <c r="B445" s="4"/>
      <c r="C445" s="4"/>
      <c r="D445" s="4"/>
      <c r="E445" s="11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75" customHeight="1">
      <c r="A446" s="10"/>
      <c r="B446" s="4"/>
      <c r="C446" s="4"/>
      <c r="D446" s="4"/>
      <c r="E446" s="11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75" customHeight="1">
      <c r="A447" s="10"/>
      <c r="B447" s="4"/>
      <c r="C447" s="4"/>
      <c r="D447" s="4"/>
      <c r="E447" s="11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75" customHeight="1">
      <c r="A448" s="10"/>
      <c r="B448" s="4"/>
      <c r="C448" s="4"/>
      <c r="D448" s="4"/>
      <c r="E448" s="11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75" customHeight="1">
      <c r="A449" s="10"/>
      <c r="B449" s="4"/>
      <c r="C449" s="4"/>
      <c r="D449" s="4"/>
      <c r="E449" s="11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75" customHeight="1">
      <c r="A450" s="10"/>
      <c r="B450" s="4"/>
      <c r="C450" s="4"/>
      <c r="D450" s="4"/>
      <c r="E450" s="11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75" customHeight="1">
      <c r="A451" s="10"/>
      <c r="B451" s="4"/>
      <c r="C451" s="4"/>
      <c r="D451" s="4"/>
      <c r="E451" s="11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75" customHeight="1">
      <c r="A452" s="10"/>
      <c r="B452" s="4"/>
      <c r="C452" s="4"/>
      <c r="D452" s="4"/>
      <c r="E452" s="11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75" customHeight="1">
      <c r="A453" s="10"/>
      <c r="B453" s="4"/>
      <c r="C453" s="4"/>
      <c r="D453" s="4"/>
      <c r="E453" s="11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75" customHeight="1">
      <c r="A454" s="10"/>
      <c r="B454" s="4"/>
      <c r="C454" s="4"/>
      <c r="D454" s="4"/>
      <c r="E454" s="11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75" customHeight="1">
      <c r="A455" s="10"/>
      <c r="B455" s="4"/>
      <c r="C455" s="4"/>
      <c r="D455" s="4"/>
      <c r="E455" s="11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75" customHeight="1">
      <c r="A456" s="10"/>
      <c r="B456" s="4"/>
      <c r="C456" s="4"/>
      <c r="D456" s="4"/>
      <c r="E456" s="11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75" customHeight="1">
      <c r="A457" s="10"/>
      <c r="B457" s="4"/>
      <c r="C457" s="4"/>
      <c r="D457" s="4"/>
      <c r="E457" s="11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75" customHeight="1">
      <c r="A458" s="10"/>
      <c r="B458" s="4"/>
      <c r="C458" s="4"/>
      <c r="D458" s="4"/>
      <c r="E458" s="11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75" customHeight="1">
      <c r="A459" s="10"/>
      <c r="B459" s="4"/>
      <c r="C459" s="4"/>
      <c r="D459" s="4"/>
      <c r="E459" s="11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75" customHeight="1">
      <c r="A460" s="10"/>
      <c r="B460" s="4"/>
      <c r="C460" s="4"/>
      <c r="D460" s="4"/>
      <c r="E460" s="11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75" customHeight="1">
      <c r="A461" s="10"/>
      <c r="B461" s="4"/>
      <c r="C461" s="4"/>
      <c r="D461" s="4"/>
      <c r="E461" s="11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75" customHeight="1">
      <c r="A462" s="10"/>
      <c r="B462" s="4"/>
      <c r="C462" s="4"/>
      <c r="D462" s="4"/>
      <c r="E462" s="11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75" customHeight="1">
      <c r="A463" s="10"/>
      <c r="B463" s="4"/>
      <c r="C463" s="4"/>
      <c r="D463" s="4"/>
      <c r="E463" s="11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75" customHeight="1">
      <c r="A464" s="10"/>
      <c r="B464" s="4"/>
      <c r="C464" s="4"/>
      <c r="D464" s="4"/>
      <c r="E464" s="11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75" customHeight="1">
      <c r="A465" s="10"/>
      <c r="B465" s="4"/>
      <c r="C465" s="4"/>
      <c r="D465" s="4"/>
      <c r="E465" s="11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75" customHeight="1">
      <c r="A466" s="10"/>
      <c r="B466" s="4"/>
      <c r="C466" s="4"/>
      <c r="D466" s="4"/>
      <c r="E466" s="11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75" customHeight="1">
      <c r="A467" s="10"/>
      <c r="B467" s="4"/>
      <c r="C467" s="4"/>
      <c r="D467" s="4"/>
      <c r="E467" s="11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75" customHeight="1">
      <c r="A468" s="10"/>
      <c r="B468" s="4"/>
      <c r="C468" s="4"/>
      <c r="D468" s="4"/>
      <c r="E468" s="11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75" customHeight="1">
      <c r="A469" s="10"/>
      <c r="B469" s="4"/>
      <c r="C469" s="4"/>
      <c r="D469" s="4"/>
      <c r="E469" s="11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75" customHeight="1">
      <c r="A470" s="10"/>
      <c r="B470" s="4"/>
      <c r="C470" s="4"/>
      <c r="D470" s="4"/>
      <c r="E470" s="11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75" customHeight="1">
      <c r="A471" s="10"/>
      <c r="B471" s="4"/>
      <c r="C471" s="4"/>
      <c r="D471" s="4"/>
      <c r="E471" s="11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75" customHeight="1">
      <c r="A472" s="10"/>
      <c r="B472" s="4"/>
      <c r="C472" s="4"/>
      <c r="D472" s="4"/>
      <c r="E472" s="11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75" customHeight="1">
      <c r="A473" s="10"/>
      <c r="B473" s="4"/>
      <c r="C473" s="4"/>
      <c r="D473" s="4"/>
      <c r="E473" s="11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75" customHeight="1">
      <c r="A474" s="10"/>
      <c r="B474" s="4"/>
      <c r="C474" s="4"/>
      <c r="D474" s="4"/>
      <c r="E474" s="11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75" customHeight="1">
      <c r="A475" s="10"/>
      <c r="B475" s="4"/>
      <c r="C475" s="4"/>
      <c r="D475" s="4"/>
      <c r="E475" s="11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75" customHeight="1">
      <c r="A476" s="10"/>
      <c r="B476" s="4"/>
      <c r="C476" s="4"/>
      <c r="D476" s="4"/>
      <c r="E476" s="11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75" customHeight="1">
      <c r="A477" s="10"/>
      <c r="B477" s="4"/>
      <c r="C477" s="4"/>
      <c r="D477" s="4"/>
      <c r="E477" s="11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75" customHeight="1">
      <c r="A478" s="10"/>
      <c r="B478" s="4"/>
      <c r="C478" s="4"/>
      <c r="D478" s="4"/>
      <c r="E478" s="11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75" customHeight="1">
      <c r="A479" s="10"/>
      <c r="B479" s="4"/>
      <c r="C479" s="4"/>
      <c r="D479" s="4"/>
      <c r="E479" s="11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75" customHeight="1">
      <c r="A480" s="10"/>
      <c r="B480" s="4"/>
      <c r="C480" s="4"/>
      <c r="D480" s="4"/>
      <c r="E480" s="11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75" customHeight="1">
      <c r="A481" s="10"/>
      <c r="B481" s="4"/>
      <c r="C481" s="4"/>
      <c r="D481" s="4"/>
      <c r="E481" s="11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75" customHeight="1">
      <c r="A482" s="10"/>
      <c r="B482" s="4"/>
      <c r="C482" s="4"/>
      <c r="D482" s="4"/>
      <c r="E482" s="11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75" customHeight="1">
      <c r="A483" s="10"/>
      <c r="B483" s="4"/>
      <c r="C483" s="4"/>
      <c r="D483" s="4"/>
      <c r="E483" s="11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75" customHeight="1">
      <c r="A484" s="10"/>
      <c r="B484" s="4"/>
      <c r="C484" s="4"/>
      <c r="D484" s="4"/>
      <c r="E484" s="11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75" customHeight="1">
      <c r="A485" s="10"/>
      <c r="B485" s="4"/>
      <c r="C485" s="4"/>
      <c r="D485" s="4"/>
      <c r="E485" s="11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75" customHeight="1">
      <c r="A486" s="10"/>
      <c r="B486" s="4"/>
      <c r="C486" s="4"/>
      <c r="D486" s="4"/>
      <c r="E486" s="11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75" customHeight="1">
      <c r="A487" s="10"/>
      <c r="B487" s="4"/>
      <c r="C487" s="4"/>
      <c r="D487" s="4"/>
      <c r="E487" s="11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75" customHeight="1">
      <c r="A488" s="10"/>
      <c r="B488" s="4"/>
      <c r="C488" s="4"/>
      <c r="D488" s="4"/>
      <c r="E488" s="11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75" customHeight="1">
      <c r="A489" s="10"/>
      <c r="B489" s="4"/>
      <c r="C489" s="4"/>
      <c r="D489" s="4"/>
      <c r="E489" s="11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75" customHeight="1">
      <c r="A490" s="10"/>
      <c r="B490" s="4"/>
      <c r="C490" s="4"/>
      <c r="D490" s="4"/>
      <c r="E490" s="11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75" customHeight="1">
      <c r="A491" s="10"/>
      <c r="B491" s="4"/>
      <c r="C491" s="4"/>
      <c r="D491" s="4"/>
      <c r="E491" s="11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75" customHeight="1">
      <c r="A492" s="10"/>
      <c r="B492" s="4"/>
      <c r="C492" s="4"/>
      <c r="D492" s="4"/>
      <c r="E492" s="11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75" customHeight="1">
      <c r="A493" s="10"/>
      <c r="B493" s="4"/>
      <c r="C493" s="4"/>
      <c r="D493" s="4"/>
      <c r="E493" s="11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75" customHeight="1">
      <c r="A494" s="10"/>
      <c r="B494" s="4"/>
      <c r="C494" s="4"/>
      <c r="D494" s="4"/>
      <c r="E494" s="11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75" customHeight="1">
      <c r="A495" s="10"/>
      <c r="B495" s="4"/>
      <c r="C495" s="4"/>
      <c r="D495" s="4"/>
      <c r="E495" s="11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75" customHeight="1">
      <c r="A496" s="10"/>
      <c r="B496" s="4"/>
      <c r="C496" s="4"/>
      <c r="D496" s="4"/>
      <c r="E496" s="11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75" customHeight="1">
      <c r="A497" s="10"/>
      <c r="B497" s="4"/>
      <c r="C497" s="4"/>
      <c r="D497" s="4"/>
      <c r="E497" s="11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75" customHeight="1">
      <c r="A498" s="10"/>
      <c r="B498" s="4"/>
      <c r="C498" s="4"/>
      <c r="D498" s="4"/>
      <c r="E498" s="11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75" customHeight="1">
      <c r="A499" s="10"/>
      <c r="B499" s="4"/>
      <c r="C499" s="4"/>
      <c r="D499" s="4"/>
      <c r="E499" s="11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75" customHeight="1">
      <c r="A500" s="10"/>
      <c r="B500" s="4"/>
      <c r="C500" s="4"/>
      <c r="D500" s="4"/>
      <c r="E500" s="11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75" customHeight="1">
      <c r="A501" s="10"/>
      <c r="B501" s="4"/>
      <c r="C501" s="4"/>
      <c r="D501" s="4"/>
      <c r="E501" s="11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75" customHeight="1">
      <c r="A502" s="10"/>
      <c r="B502" s="4"/>
      <c r="C502" s="4"/>
      <c r="D502" s="4"/>
      <c r="E502" s="11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75" customHeight="1">
      <c r="A503" s="10"/>
      <c r="B503" s="4"/>
      <c r="C503" s="4"/>
      <c r="D503" s="4"/>
      <c r="E503" s="11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75" customHeight="1">
      <c r="A504" s="10"/>
      <c r="B504" s="4"/>
      <c r="C504" s="4"/>
      <c r="D504" s="4"/>
      <c r="E504" s="11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75" customHeight="1">
      <c r="A505" s="10"/>
      <c r="B505" s="4"/>
      <c r="C505" s="4"/>
      <c r="D505" s="4"/>
      <c r="E505" s="11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75" customHeight="1">
      <c r="A506" s="10"/>
      <c r="B506" s="4"/>
      <c r="C506" s="4"/>
      <c r="D506" s="4"/>
      <c r="E506" s="11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75" customHeight="1">
      <c r="A507" s="10"/>
      <c r="B507" s="4"/>
      <c r="C507" s="4"/>
      <c r="D507" s="4"/>
      <c r="E507" s="11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75" customHeight="1">
      <c r="A508" s="10"/>
      <c r="B508" s="4"/>
      <c r="C508" s="4"/>
      <c r="D508" s="4"/>
      <c r="E508" s="11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75" customHeight="1">
      <c r="A509" s="10"/>
      <c r="B509" s="4"/>
      <c r="C509" s="4"/>
      <c r="D509" s="4"/>
      <c r="E509" s="11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75" customHeight="1">
      <c r="A510" s="10"/>
      <c r="B510" s="4"/>
      <c r="C510" s="4"/>
      <c r="D510" s="4"/>
      <c r="E510" s="11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75" customHeight="1">
      <c r="A511" s="10"/>
      <c r="B511" s="4"/>
      <c r="C511" s="4"/>
      <c r="D511" s="4"/>
      <c r="E511" s="11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75" customHeight="1">
      <c r="A512" s="10"/>
      <c r="B512" s="4"/>
      <c r="C512" s="4"/>
      <c r="D512" s="4"/>
      <c r="E512" s="11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75" customHeight="1">
      <c r="A513" s="10"/>
      <c r="B513" s="4"/>
      <c r="C513" s="4"/>
      <c r="D513" s="4"/>
      <c r="E513" s="11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75" customHeight="1">
      <c r="A514" s="10"/>
      <c r="B514" s="4"/>
      <c r="C514" s="4"/>
      <c r="D514" s="4"/>
      <c r="E514" s="11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75" customHeight="1">
      <c r="A515" s="10"/>
      <c r="B515" s="4"/>
      <c r="C515" s="4"/>
      <c r="D515" s="4"/>
      <c r="E515" s="11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75" customHeight="1">
      <c r="A516" s="10"/>
      <c r="B516" s="4"/>
      <c r="C516" s="4"/>
      <c r="D516" s="4"/>
      <c r="E516" s="11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75" customHeight="1">
      <c r="A517" s="10"/>
      <c r="B517" s="4"/>
      <c r="C517" s="4"/>
      <c r="D517" s="4"/>
      <c r="E517" s="11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75" customHeight="1">
      <c r="A518" s="10"/>
      <c r="B518" s="4"/>
      <c r="C518" s="4"/>
      <c r="D518" s="4"/>
      <c r="E518" s="11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75" customHeight="1">
      <c r="A519" s="10"/>
      <c r="B519" s="4"/>
      <c r="C519" s="4"/>
      <c r="D519" s="4"/>
      <c r="E519" s="11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75" customHeight="1">
      <c r="A520" s="10"/>
      <c r="B520" s="4"/>
      <c r="C520" s="4"/>
      <c r="D520" s="4"/>
      <c r="E520" s="11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75" customHeight="1">
      <c r="A521" s="10"/>
      <c r="B521" s="4"/>
      <c r="C521" s="4"/>
      <c r="D521" s="4"/>
      <c r="E521" s="11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75" customHeight="1">
      <c r="A522" s="10"/>
      <c r="B522" s="4"/>
      <c r="C522" s="4"/>
      <c r="D522" s="4"/>
      <c r="E522" s="11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75" customHeight="1">
      <c r="A523" s="10"/>
      <c r="B523" s="4"/>
      <c r="C523" s="4"/>
      <c r="D523" s="4"/>
      <c r="E523" s="11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75" customHeight="1">
      <c r="A524" s="10"/>
      <c r="B524" s="4"/>
      <c r="C524" s="4"/>
      <c r="D524" s="4"/>
      <c r="E524" s="11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75" customHeight="1">
      <c r="A525" s="10"/>
      <c r="B525" s="4"/>
      <c r="C525" s="4"/>
      <c r="D525" s="4"/>
      <c r="E525" s="11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75" customHeight="1">
      <c r="A526" s="10"/>
      <c r="B526" s="4"/>
      <c r="C526" s="4"/>
      <c r="D526" s="4"/>
      <c r="E526" s="11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75" customHeight="1">
      <c r="A527" s="10"/>
      <c r="B527" s="4"/>
      <c r="C527" s="4"/>
      <c r="D527" s="4"/>
      <c r="E527" s="11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75" customHeight="1">
      <c r="A528" s="10"/>
      <c r="B528" s="4"/>
      <c r="C528" s="4"/>
      <c r="D528" s="4"/>
      <c r="E528" s="11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75" customHeight="1">
      <c r="A529" s="10"/>
      <c r="B529" s="4"/>
      <c r="C529" s="4"/>
      <c r="D529" s="4"/>
      <c r="E529" s="11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75" customHeight="1">
      <c r="A530" s="10"/>
      <c r="B530" s="4"/>
      <c r="C530" s="4"/>
      <c r="D530" s="4"/>
      <c r="E530" s="11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75" customHeight="1">
      <c r="A531" s="10"/>
      <c r="B531" s="4"/>
      <c r="C531" s="4"/>
      <c r="D531" s="4"/>
      <c r="E531" s="11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75" customHeight="1">
      <c r="A532" s="10"/>
      <c r="B532" s="4"/>
      <c r="C532" s="4"/>
      <c r="D532" s="4"/>
      <c r="E532" s="11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75" customHeight="1">
      <c r="A533" s="10"/>
      <c r="B533" s="4"/>
      <c r="C533" s="4"/>
      <c r="D533" s="4"/>
      <c r="E533" s="11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75" customHeight="1">
      <c r="A534" s="10"/>
      <c r="B534" s="4"/>
      <c r="C534" s="4"/>
      <c r="D534" s="4"/>
      <c r="E534" s="11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75" customHeight="1">
      <c r="A535" s="10"/>
      <c r="B535" s="4"/>
      <c r="C535" s="4"/>
      <c r="D535" s="4"/>
      <c r="E535" s="11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75" customHeight="1">
      <c r="A536" s="10"/>
      <c r="B536" s="4"/>
      <c r="C536" s="4"/>
      <c r="D536" s="4"/>
      <c r="E536" s="11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75" customHeight="1">
      <c r="A537" s="10"/>
      <c r="B537" s="4"/>
      <c r="C537" s="4"/>
      <c r="D537" s="4"/>
      <c r="E537" s="11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75" customHeight="1">
      <c r="A538" s="10"/>
      <c r="B538" s="4"/>
      <c r="C538" s="4"/>
      <c r="D538" s="4"/>
      <c r="E538" s="11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75" customHeight="1">
      <c r="A539" s="10"/>
      <c r="B539" s="4"/>
      <c r="C539" s="4"/>
      <c r="D539" s="4"/>
      <c r="E539" s="11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75" customHeight="1">
      <c r="A540" s="10"/>
      <c r="B540" s="4"/>
      <c r="C540" s="4"/>
      <c r="D540" s="4"/>
      <c r="E540" s="11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75" customHeight="1">
      <c r="A541" s="10"/>
      <c r="B541" s="4"/>
      <c r="C541" s="4"/>
      <c r="D541" s="4"/>
      <c r="E541" s="11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75" customHeight="1">
      <c r="A542" s="10"/>
      <c r="B542" s="4"/>
      <c r="C542" s="4"/>
      <c r="D542" s="4"/>
      <c r="E542" s="11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75" customHeight="1">
      <c r="A543" s="10"/>
      <c r="B543" s="4"/>
      <c r="C543" s="4"/>
      <c r="D543" s="4"/>
      <c r="E543" s="11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75" customHeight="1">
      <c r="A544" s="10"/>
      <c r="B544" s="4"/>
      <c r="C544" s="4"/>
      <c r="D544" s="4"/>
      <c r="E544" s="11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75" customHeight="1">
      <c r="A545" s="10"/>
      <c r="B545" s="4"/>
      <c r="C545" s="4"/>
      <c r="D545" s="4"/>
      <c r="E545" s="11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75" customHeight="1">
      <c r="A546" s="10"/>
      <c r="B546" s="4"/>
      <c r="C546" s="4"/>
      <c r="D546" s="4"/>
      <c r="E546" s="11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75" customHeight="1">
      <c r="A547" s="10"/>
      <c r="B547" s="4"/>
      <c r="C547" s="4"/>
      <c r="D547" s="4"/>
      <c r="E547" s="11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75" customHeight="1">
      <c r="A548" s="10"/>
      <c r="B548" s="4"/>
      <c r="C548" s="4"/>
      <c r="D548" s="4"/>
      <c r="E548" s="11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75" customHeight="1">
      <c r="A549" s="10"/>
      <c r="B549" s="4"/>
      <c r="C549" s="4"/>
      <c r="D549" s="4"/>
      <c r="E549" s="11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75" customHeight="1">
      <c r="A550" s="10"/>
      <c r="B550" s="4"/>
      <c r="C550" s="4"/>
      <c r="D550" s="4"/>
      <c r="E550" s="11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75" customHeight="1">
      <c r="A551" s="10"/>
      <c r="B551" s="4"/>
      <c r="C551" s="4"/>
      <c r="D551" s="4"/>
      <c r="E551" s="11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75" customHeight="1">
      <c r="A552" s="10"/>
      <c r="B552" s="4"/>
      <c r="C552" s="4"/>
      <c r="D552" s="4"/>
      <c r="E552" s="11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75" customHeight="1">
      <c r="A553" s="10"/>
      <c r="B553" s="4"/>
      <c r="C553" s="4"/>
      <c r="D553" s="4"/>
      <c r="E553" s="11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75" customHeight="1">
      <c r="A554" s="10"/>
      <c r="B554" s="4"/>
      <c r="C554" s="4"/>
      <c r="D554" s="4"/>
      <c r="E554" s="11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75" customHeight="1">
      <c r="A555" s="10"/>
      <c r="B555" s="4"/>
      <c r="C555" s="4"/>
      <c r="D555" s="4"/>
      <c r="E555" s="11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75" customHeight="1">
      <c r="A556" s="10"/>
      <c r="B556" s="4"/>
      <c r="C556" s="4"/>
      <c r="D556" s="4"/>
      <c r="E556" s="11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75" customHeight="1">
      <c r="A557" s="10"/>
      <c r="B557" s="4"/>
      <c r="C557" s="4"/>
      <c r="D557" s="4"/>
      <c r="E557" s="11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75" customHeight="1">
      <c r="A558" s="10"/>
      <c r="B558" s="4"/>
      <c r="C558" s="4"/>
      <c r="D558" s="4"/>
      <c r="E558" s="11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75" customHeight="1">
      <c r="A559" s="10"/>
      <c r="B559" s="4"/>
      <c r="C559" s="4"/>
      <c r="D559" s="4"/>
      <c r="E559" s="11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75" customHeight="1">
      <c r="A560" s="10"/>
      <c r="B560" s="4"/>
      <c r="C560" s="4"/>
      <c r="D560" s="4"/>
      <c r="E560" s="11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75" customHeight="1">
      <c r="A561" s="10"/>
      <c r="B561" s="4"/>
      <c r="C561" s="4"/>
      <c r="D561" s="4"/>
      <c r="E561" s="11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75" customHeight="1">
      <c r="A562" s="10"/>
      <c r="B562" s="4"/>
      <c r="C562" s="4"/>
      <c r="D562" s="4"/>
      <c r="E562" s="11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75" customHeight="1">
      <c r="A563" s="10"/>
      <c r="B563" s="4"/>
      <c r="C563" s="4"/>
      <c r="D563" s="4"/>
      <c r="E563" s="11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75" customHeight="1">
      <c r="A564" s="10"/>
      <c r="B564" s="4"/>
      <c r="C564" s="4"/>
      <c r="D564" s="4"/>
      <c r="E564" s="11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75" customHeight="1">
      <c r="A565" s="10"/>
      <c r="B565" s="4"/>
      <c r="C565" s="4"/>
      <c r="D565" s="4"/>
      <c r="E565" s="11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75" customHeight="1">
      <c r="A566" s="10"/>
      <c r="B566" s="4"/>
      <c r="C566" s="4"/>
      <c r="D566" s="4"/>
      <c r="E566" s="11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75" customHeight="1">
      <c r="A567" s="10"/>
      <c r="B567" s="4"/>
      <c r="C567" s="4"/>
      <c r="D567" s="4"/>
      <c r="E567" s="11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75" customHeight="1">
      <c r="A568" s="10"/>
      <c r="B568" s="4"/>
      <c r="C568" s="4"/>
      <c r="D568" s="4"/>
      <c r="E568" s="11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75" customHeight="1">
      <c r="A569" s="10"/>
      <c r="B569" s="4"/>
      <c r="C569" s="4"/>
      <c r="D569" s="4"/>
      <c r="E569" s="11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75" customHeight="1">
      <c r="A570" s="10"/>
      <c r="B570" s="4"/>
      <c r="C570" s="4"/>
      <c r="D570" s="4"/>
      <c r="E570" s="11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75" customHeight="1">
      <c r="A571" s="10"/>
      <c r="B571" s="4"/>
      <c r="C571" s="4"/>
      <c r="D571" s="4"/>
      <c r="E571" s="11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75" customHeight="1">
      <c r="A572" s="10"/>
      <c r="B572" s="4"/>
      <c r="C572" s="4"/>
      <c r="D572" s="4"/>
      <c r="E572" s="11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75" customHeight="1">
      <c r="A573" s="10"/>
      <c r="B573" s="4"/>
      <c r="C573" s="4"/>
      <c r="D573" s="4"/>
      <c r="E573" s="11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75" customHeight="1">
      <c r="A574" s="10"/>
      <c r="B574" s="4"/>
      <c r="C574" s="4"/>
      <c r="D574" s="4"/>
      <c r="E574" s="11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75" customHeight="1">
      <c r="A575" s="10"/>
      <c r="B575" s="4"/>
      <c r="C575" s="4"/>
      <c r="D575" s="4"/>
      <c r="E575" s="11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75" customHeight="1">
      <c r="A576" s="10"/>
      <c r="B576" s="4"/>
      <c r="C576" s="4"/>
      <c r="D576" s="4"/>
      <c r="E576" s="11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75" customHeight="1">
      <c r="A577" s="10"/>
      <c r="B577" s="4"/>
      <c r="C577" s="4"/>
      <c r="D577" s="4"/>
      <c r="E577" s="11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75" customHeight="1">
      <c r="A578" s="10"/>
      <c r="B578" s="4"/>
      <c r="C578" s="4"/>
      <c r="D578" s="4"/>
      <c r="E578" s="11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75" customHeight="1">
      <c r="A579" s="10"/>
      <c r="B579" s="4"/>
      <c r="C579" s="4"/>
      <c r="D579" s="4"/>
      <c r="E579" s="11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75" customHeight="1">
      <c r="A580" s="10"/>
      <c r="B580" s="4"/>
      <c r="C580" s="4"/>
      <c r="D580" s="4"/>
      <c r="E580" s="11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75" customHeight="1">
      <c r="A581" s="10"/>
      <c r="B581" s="4"/>
      <c r="C581" s="4"/>
      <c r="D581" s="4"/>
      <c r="E581" s="11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75" customHeight="1">
      <c r="A582" s="10"/>
      <c r="B582" s="4"/>
      <c r="C582" s="4"/>
      <c r="D582" s="4"/>
      <c r="E582" s="11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75" customHeight="1">
      <c r="A583" s="10"/>
      <c r="B583" s="4"/>
      <c r="C583" s="4"/>
      <c r="D583" s="4"/>
      <c r="E583" s="11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75" customHeight="1">
      <c r="A584" s="10"/>
      <c r="B584" s="4"/>
      <c r="C584" s="4"/>
      <c r="D584" s="4"/>
      <c r="E584" s="11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75" customHeight="1">
      <c r="A585" s="10"/>
      <c r="B585" s="4"/>
      <c r="C585" s="4"/>
      <c r="D585" s="4"/>
      <c r="E585" s="11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75" customHeight="1">
      <c r="A586" s="10"/>
      <c r="B586" s="4"/>
      <c r="C586" s="4"/>
      <c r="D586" s="4"/>
      <c r="E586" s="11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75" customHeight="1">
      <c r="A587" s="10"/>
      <c r="B587" s="4"/>
      <c r="C587" s="4"/>
      <c r="D587" s="4"/>
      <c r="E587" s="11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75" customHeight="1">
      <c r="A588" s="10"/>
      <c r="B588" s="4"/>
      <c r="C588" s="4"/>
      <c r="D588" s="4"/>
      <c r="E588" s="11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75" customHeight="1">
      <c r="A589" s="10"/>
      <c r="B589" s="4"/>
      <c r="C589" s="4"/>
      <c r="D589" s="4"/>
      <c r="E589" s="11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75" customHeight="1">
      <c r="A590" s="10"/>
      <c r="B590" s="4"/>
      <c r="C590" s="4"/>
      <c r="D590" s="4"/>
      <c r="E590" s="11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75" customHeight="1">
      <c r="A591" s="10"/>
      <c r="B591" s="4"/>
      <c r="C591" s="4"/>
      <c r="D591" s="4"/>
      <c r="E591" s="11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75" customHeight="1">
      <c r="A592" s="10"/>
      <c r="B592" s="4"/>
      <c r="C592" s="4"/>
      <c r="D592" s="4"/>
      <c r="E592" s="11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75" customHeight="1">
      <c r="A593" s="10"/>
      <c r="B593" s="4"/>
      <c r="C593" s="4"/>
      <c r="D593" s="4"/>
      <c r="E593" s="11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75" customHeight="1">
      <c r="A594" s="10"/>
      <c r="B594" s="4"/>
      <c r="C594" s="4"/>
      <c r="D594" s="4"/>
      <c r="E594" s="11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75" customHeight="1">
      <c r="A595" s="10"/>
      <c r="B595" s="4"/>
      <c r="C595" s="4"/>
      <c r="D595" s="4"/>
      <c r="E595" s="11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75" customHeight="1">
      <c r="A596" s="10"/>
      <c r="B596" s="4"/>
      <c r="C596" s="4"/>
      <c r="D596" s="4"/>
      <c r="E596" s="11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75" customHeight="1">
      <c r="A597" s="10"/>
      <c r="B597" s="4"/>
      <c r="C597" s="4"/>
      <c r="D597" s="4"/>
      <c r="E597" s="11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75" customHeight="1">
      <c r="A598" s="10"/>
      <c r="B598" s="4"/>
      <c r="C598" s="4"/>
      <c r="D598" s="4"/>
      <c r="E598" s="11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75" customHeight="1">
      <c r="A599" s="10"/>
      <c r="B599" s="4"/>
      <c r="C599" s="4"/>
      <c r="D599" s="4"/>
      <c r="E599" s="11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75" customHeight="1">
      <c r="A600" s="10"/>
      <c r="B600" s="4"/>
      <c r="C600" s="4"/>
      <c r="D600" s="4"/>
      <c r="E600" s="11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75" customHeight="1">
      <c r="A601" s="10"/>
      <c r="B601" s="4"/>
      <c r="C601" s="4"/>
      <c r="D601" s="4"/>
      <c r="E601" s="11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75" customHeight="1">
      <c r="A602" s="10"/>
      <c r="B602" s="4"/>
      <c r="C602" s="4"/>
      <c r="D602" s="4"/>
      <c r="E602" s="11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75" customHeight="1">
      <c r="A603" s="10"/>
      <c r="B603" s="4"/>
      <c r="C603" s="4"/>
      <c r="D603" s="4"/>
      <c r="E603" s="11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75" customHeight="1">
      <c r="A604" s="10"/>
      <c r="B604" s="4"/>
      <c r="C604" s="4"/>
      <c r="D604" s="4"/>
      <c r="E604" s="11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75" customHeight="1">
      <c r="A605" s="10"/>
      <c r="B605" s="4"/>
      <c r="C605" s="4"/>
      <c r="D605" s="4"/>
      <c r="E605" s="11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75" customHeight="1">
      <c r="A606" s="10"/>
      <c r="B606" s="4"/>
      <c r="C606" s="4"/>
      <c r="D606" s="4"/>
      <c r="E606" s="11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75" customHeight="1">
      <c r="A607" s="10"/>
      <c r="B607" s="4"/>
      <c r="C607" s="4"/>
      <c r="D607" s="4"/>
      <c r="E607" s="11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75" customHeight="1">
      <c r="A608" s="10"/>
      <c r="B608" s="4"/>
      <c r="C608" s="4"/>
      <c r="D608" s="4"/>
      <c r="E608" s="11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75" customHeight="1">
      <c r="A609" s="10"/>
      <c r="B609" s="4"/>
      <c r="C609" s="4"/>
      <c r="D609" s="4"/>
      <c r="E609" s="11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75" customHeight="1">
      <c r="A610" s="10"/>
      <c r="B610" s="4"/>
      <c r="C610" s="4"/>
      <c r="D610" s="4"/>
      <c r="E610" s="11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75" customHeight="1">
      <c r="A611" s="10"/>
      <c r="B611" s="4"/>
      <c r="C611" s="4"/>
      <c r="D611" s="4"/>
      <c r="E611" s="11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75" customHeight="1">
      <c r="A612" s="10"/>
      <c r="B612" s="4"/>
      <c r="C612" s="4"/>
      <c r="D612" s="4"/>
      <c r="E612" s="11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75" customHeight="1">
      <c r="A613" s="10"/>
      <c r="B613" s="4"/>
      <c r="C613" s="4"/>
      <c r="D613" s="4"/>
      <c r="E613" s="11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75" customHeight="1">
      <c r="A614" s="10"/>
      <c r="B614" s="4"/>
      <c r="C614" s="4"/>
      <c r="D614" s="4"/>
      <c r="E614" s="11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75" customHeight="1">
      <c r="A615" s="10"/>
      <c r="B615" s="4"/>
      <c r="C615" s="4"/>
      <c r="D615" s="4"/>
      <c r="E615" s="11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75" customHeight="1">
      <c r="A616" s="10"/>
      <c r="B616" s="4"/>
      <c r="C616" s="4"/>
      <c r="D616" s="4"/>
      <c r="E616" s="11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75" customHeight="1">
      <c r="A617" s="10"/>
      <c r="B617" s="4"/>
      <c r="C617" s="4"/>
      <c r="D617" s="4"/>
      <c r="E617" s="11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75" customHeight="1">
      <c r="A618" s="10"/>
      <c r="B618" s="4"/>
      <c r="C618" s="4"/>
      <c r="D618" s="4"/>
      <c r="E618" s="11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75" customHeight="1">
      <c r="A619" s="10"/>
      <c r="B619" s="4"/>
      <c r="C619" s="4"/>
      <c r="D619" s="4"/>
      <c r="E619" s="11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75" customHeight="1">
      <c r="A620" s="10"/>
      <c r="B620" s="4"/>
      <c r="C620" s="4"/>
      <c r="D620" s="4"/>
      <c r="E620" s="11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75" customHeight="1">
      <c r="A621" s="10"/>
      <c r="B621" s="4"/>
      <c r="C621" s="4"/>
      <c r="D621" s="4"/>
      <c r="E621" s="11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75" customHeight="1">
      <c r="A622" s="10"/>
      <c r="B622" s="4"/>
      <c r="C622" s="4"/>
      <c r="D622" s="4"/>
      <c r="E622" s="11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75" customHeight="1">
      <c r="A623" s="10"/>
      <c r="B623" s="4"/>
      <c r="C623" s="4"/>
      <c r="D623" s="4"/>
      <c r="E623" s="11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75" customHeight="1">
      <c r="A624" s="10"/>
      <c r="B624" s="4"/>
      <c r="C624" s="4"/>
      <c r="D624" s="4"/>
      <c r="E624" s="11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75" customHeight="1">
      <c r="A625" s="10"/>
      <c r="B625" s="4"/>
      <c r="C625" s="4"/>
      <c r="D625" s="4"/>
      <c r="E625" s="11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75" customHeight="1">
      <c r="A626" s="10"/>
      <c r="B626" s="4"/>
      <c r="C626" s="4"/>
      <c r="D626" s="4"/>
      <c r="E626" s="11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75" customHeight="1">
      <c r="A627" s="10"/>
      <c r="B627" s="4"/>
      <c r="C627" s="4"/>
      <c r="D627" s="4"/>
      <c r="E627" s="11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75" customHeight="1">
      <c r="A628" s="10"/>
      <c r="B628" s="4"/>
      <c r="C628" s="4"/>
      <c r="D628" s="4"/>
      <c r="E628" s="11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75" customHeight="1">
      <c r="A629" s="10"/>
      <c r="B629" s="4"/>
      <c r="C629" s="4"/>
      <c r="D629" s="4"/>
      <c r="E629" s="11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75" customHeight="1">
      <c r="A630" s="10"/>
      <c r="B630" s="4"/>
      <c r="C630" s="4"/>
      <c r="D630" s="4"/>
      <c r="E630" s="11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75" customHeight="1">
      <c r="A631" s="10"/>
      <c r="B631" s="4"/>
      <c r="C631" s="4"/>
      <c r="D631" s="4"/>
      <c r="E631" s="11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75" customHeight="1">
      <c r="A632" s="10"/>
      <c r="B632" s="4"/>
      <c r="C632" s="4"/>
      <c r="D632" s="4"/>
      <c r="E632" s="11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75" customHeight="1">
      <c r="A633" s="10"/>
      <c r="B633" s="4"/>
      <c r="C633" s="4"/>
      <c r="D633" s="4"/>
      <c r="E633" s="11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75" customHeight="1">
      <c r="A634" s="10"/>
      <c r="B634" s="4"/>
      <c r="C634" s="4"/>
      <c r="D634" s="4"/>
      <c r="E634" s="11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75" customHeight="1">
      <c r="A635" s="10"/>
      <c r="B635" s="4"/>
      <c r="C635" s="4"/>
      <c r="D635" s="4"/>
      <c r="E635" s="11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75" customHeight="1">
      <c r="A636" s="10"/>
      <c r="B636" s="4"/>
      <c r="C636" s="4"/>
      <c r="D636" s="4"/>
      <c r="E636" s="11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75" customHeight="1">
      <c r="A637" s="10"/>
      <c r="B637" s="4"/>
      <c r="C637" s="4"/>
      <c r="D637" s="4"/>
      <c r="E637" s="11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75" customHeight="1">
      <c r="A638" s="10"/>
      <c r="B638" s="4"/>
      <c r="C638" s="4"/>
      <c r="D638" s="4"/>
      <c r="E638" s="11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75" customHeight="1">
      <c r="A639" s="10"/>
      <c r="B639" s="4"/>
      <c r="C639" s="4"/>
      <c r="D639" s="4"/>
      <c r="E639" s="11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75" customHeight="1">
      <c r="A640" s="10"/>
      <c r="B640" s="4"/>
      <c r="C640" s="4"/>
      <c r="D640" s="4"/>
      <c r="E640" s="11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75" customHeight="1">
      <c r="A641" s="10"/>
      <c r="B641" s="4"/>
      <c r="C641" s="4"/>
      <c r="D641" s="4"/>
      <c r="E641" s="11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75" customHeight="1">
      <c r="A642" s="10"/>
      <c r="B642" s="4"/>
      <c r="C642" s="4"/>
      <c r="D642" s="4"/>
      <c r="E642" s="11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75" customHeight="1">
      <c r="A643" s="10"/>
      <c r="B643" s="4"/>
      <c r="C643" s="4"/>
      <c r="D643" s="4"/>
      <c r="E643" s="11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75" customHeight="1">
      <c r="A644" s="10"/>
      <c r="B644" s="4"/>
      <c r="C644" s="4"/>
      <c r="D644" s="4"/>
      <c r="E644" s="11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75" customHeight="1">
      <c r="A645" s="10"/>
      <c r="B645" s="4"/>
      <c r="C645" s="4"/>
      <c r="D645" s="4"/>
      <c r="E645" s="11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75" customHeight="1">
      <c r="A646" s="10"/>
      <c r="B646" s="4"/>
      <c r="C646" s="4"/>
      <c r="D646" s="4"/>
      <c r="E646" s="11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75" customHeight="1">
      <c r="A647" s="10"/>
      <c r="B647" s="4"/>
      <c r="C647" s="4"/>
      <c r="D647" s="4"/>
      <c r="E647" s="11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75" customHeight="1">
      <c r="A648" s="10"/>
      <c r="B648" s="4"/>
      <c r="C648" s="4"/>
      <c r="D648" s="4"/>
      <c r="E648" s="11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75" customHeight="1">
      <c r="A649" s="10"/>
      <c r="B649" s="4"/>
      <c r="C649" s="4"/>
      <c r="D649" s="4"/>
      <c r="E649" s="11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75" customHeight="1">
      <c r="A650" s="10"/>
      <c r="B650" s="4"/>
      <c r="C650" s="4"/>
      <c r="D650" s="4"/>
      <c r="E650" s="11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75" customHeight="1">
      <c r="A651" s="10"/>
      <c r="B651" s="4"/>
      <c r="C651" s="4"/>
      <c r="D651" s="4"/>
      <c r="E651" s="11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75" customHeight="1">
      <c r="A652" s="10"/>
      <c r="B652" s="4"/>
      <c r="C652" s="4"/>
      <c r="D652" s="4"/>
      <c r="E652" s="11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75" customHeight="1">
      <c r="A653" s="10"/>
      <c r="B653" s="4"/>
      <c r="C653" s="4"/>
      <c r="D653" s="4"/>
      <c r="E653" s="11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75" customHeight="1">
      <c r="A654" s="10"/>
      <c r="B654" s="4"/>
      <c r="C654" s="4"/>
      <c r="D654" s="4"/>
      <c r="E654" s="11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75" customHeight="1">
      <c r="A655" s="10"/>
      <c r="B655" s="4"/>
      <c r="C655" s="4"/>
      <c r="D655" s="4"/>
      <c r="E655" s="11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75" customHeight="1">
      <c r="A656" s="10"/>
      <c r="B656" s="4"/>
      <c r="C656" s="4"/>
      <c r="D656" s="4"/>
      <c r="E656" s="11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75" customHeight="1">
      <c r="A657" s="10"/>
      <c r="B657" s="4"/>
      <c r="C657" s="4"/>
      <c r="D657" s="4"/>
      <c r="E657" s="11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75" customHeight="1">
      <c r="A658" s="10"/>
      <c r="B658" s="4"/>
      <c r="C658" s="4"/>
      <c r="D658" s="4"/>
      <c r="E658" s="11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75" customHeight="1">
      <c r="A659" s="10"/>
      <c r="B659" s="4"/>
      <c r="C659" s="4"/>
      <c r="D659" s="4"/>
      <c r="E659" s="11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75" customHeight="1">
      <c r="A660" s="10"/>
      <c r="B660" s="4"/>
      <c r="C660" s="4"/>
      <c r="D660" s="4"/>
      <c r="E660" s="11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75" customHeight="1">
      <c r="A661" s="10"/>
      <c r="B661" s="4"/>
      <c r="C661" s="4"/>
      <c r="D661" s="4"/>
      <c r="E661" s="11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75" customHeight="1">
      <c r="A662" s="10"/>
      <c r="B662" s="4"/>
      <c r="C662" s="4"/>
      <c r="D662" s="4"/>
      <c r="E662" s="11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75" customHeight="1">
      <c r="A663" s="10"/>
      <c r="B663" s="4"/>
      <c r="C663" s="4"/>
      <c r="D663" s="4"/>
      <c r="E663" s="11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75" customHeight="1">
      <c r="A664" s="10"/>
      <c r="B664" s="4"/>
      <c r="C664" s="4"/>
      <c r="D664" s="4"/>
      <c r="E664" s="11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75" customHeight="1">
      <c r="A665" s="10"/>
      <c r="B665" s="4"/>
      <c r="C665" s="4"/>
      <c r="D665" s="4"/>
      <c r="E665" s="11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75" customHeight="1">
      <c r="A666" s="10"/>
      <c r="B666" s="4"/>
      <c r="C666" s="4"/>
      <c r="D666" s="4"/>
      <c r="E666" s="11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75" customHeight="1">
      <c r="A667" s="10"/>
      <c r="B667" s="4"/>
      <c r="C667" s="4"/>
      <c r="D667" s="4"/>
      <c r="E667" s="11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75" customHeight="1">
      <c r="A668" s="10"/>
      <c r="B668" s="4"/>
      <c r="C668" s="4"/>
      <c r="D668" s="4"/>
      <c r="E668" s="11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75" customHeight="1">
      <c r="A669" s="10"/>
      <c r="B669" s="4"/>
      <c r="C669" s="4"/>
      <c r="D669" s="4"/>
      <c r="E669" s="11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75" customHeight="1">
      <c r="A670" s="10"/>
      <c r="B670" s="4"/>
      <c r="C670" s="4"/>
      <c r="D670" s="4"/>
      <c r="E670" s="11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75" customHeight="1">
      <c r="A671" s="10"/>
      <c r="B671" s="4"/>
      <c r="C671" s="4"/>
      <c r="D671" s="4"/>
      <c r="E671" s="11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75" customHeight="1">
      <c r="A672" s="10"/>
      <c r="B672" s="4"/>
      <c r="C672" s="4"/>
      <c r="D672" s="4"/>
      <c r="E672" s="11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75" customHeight="1">
      <c r="A673" s="10"/>
      <c r="B673" s="4"/>
      <c r="C673" s="4"/>
      <c r="D673" s="4"/>
      <c r="E673" s="11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75" customHeight="1">
      <c r="A674" s="10"/>
      <c r="B674" s="4"/>
      <c r="C674" s="4"/>
      <c r="D674" s="4"/>
      <c r="E674" s="11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75" customHeight="1">
      <c r="A675" s="10"/>
      <c r="B675" s="4"/>
      <c r="C675" s="4"/>
      <c r="D675" s="4"/>
      <c r="E675" s="11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75" customHeight="1">
      <c r="A676" s="10"/>
      <c r="B676" s="4"/>
      <c r="C676" s="4"/>
      <c r="D676" s="4"/>
      <c r="E676" s="11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75" customHeight="1">
      <c r="A677" s="10"/>
      <c r="B677" s="4"/>
      <c r="C677" s="4"/>
      <c r="D677" s="4"/>
      <c r="E677" s="11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75" customHeight="1">
      <c r="A678" s="10"/>
      <c r="B678" s="4"/>
      <c r="C678" s="4"/>
      <c r="D678" s="4"/>
      <c r="E678" s="11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75" customHeight="1">
      <c r="A679" s="10"/>
      <c r="B679" s="4"/>
      <c r="C679" s="4"/>
      <c r="D679" s="4"/>
      <c r="E679" s="11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75" customHeight="1">
      <c r="A680" s="10"/>
      <c r="B680" s="4"/>
      <c r="C680" s="4"/>
      <c r="D680" s="4"/>
      <c r="E680" s="11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75" customHeight="1">
      <c r="A681" s="10"/>
      <c r="B681" s="4"/>
      <c r="C681" s="4"/>
      <c r="D681" s="4"/>
      <c r="E681" s="11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75" customHeight="1">
      <c r="A682" s="10"/>
      <c r="B682" s="4"/>
      <c r="C682" s="4"/>
      <c r="D682" s="4"/>
      <c r="E682" s="11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75" customHeight="1">
      <c r="A683" s="10"/>
      <c r="B683" s="4"/>
      <c r="C683" s="4"/>
      <c r="D683" s="4"/>
      <c r="E683" s="11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75" customHeight="1">
      <c r="A684" s="10"/>
      <c r="B684" s="4"/>
      <c r="C684" s="4"/>
      <c r="D684" s="4"/>
      <c r="E684" s="11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75" customHeight="1">
      <c r="A685" s="10"/>
      <c r="B685" s="4"/>
      <c r="C685" s="4"/>
      <c r="D685" s="4"/>
      <c r="E685" s="11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75" customHeight="1">
      <c r="A686" s="10"/>
      <c r="B686" s="4"/>
      <c r="C686" s="4"/>
      <c r="D686" s="4"/>
      <c r="E686" s="11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75" customHeight="1">
      <c r="A687" s="10"/>
      <c r="B687" s="4"/>
      <c r="C687" s="4"/>
      <c r="D687" s="4"/>
      <c r="E687" s="11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75" customHeight="1">
      <c r="A688" s="10"/>
      <c r="B688" s="4"/>
      <c r="C688" s="4"/>
      <c r="D688" s="4"/>
      <c r="E688" s="11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75" customHeight="1">
      <c r="A689" s="10"/>
      <c r="B689" s="4"/>
      <c r="C689" s="4"/>
      <c r="D689" s="4"/>
      <c r="E689" s="11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75" customHeight="1">
      <c r="A690" s="10"/>
      <c r="B690" s="4"/>
      <c r="C690" s="4"/>
      <c r="D690" s="4"/>
      <c r="E690" s="11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75" customHeight="1">
      <c r="A691" s="10"/>
      <c r="B691" s="4"/>
      <c r="C691" s="4"/>
      <c r="D691" s="4"/>
      <c r="E691" s="11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75" customHeight="1">
      <c r="A692" s="10"/>
      <c r="B692" s="4"/>
      <c r="C692" s="4"/>
      <c r="D692" s="4"/>
      <c r="E692" s="11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75" customHeight="1">
      <c r="A693" s="10"/>
      <c r="B693" s="4"/>
      <c r="C693" s="4"/>
      <c r="D693" s="4"/>
      <c r="E693" s="11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75" customHeight="1">
      <c r="A694" s="10"/>
      <c r="B694" s="4"/>
      <c r="C694" s="4"/>
      <c r="D694" s="4"/>
      <c r="E694" s="11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75" customHeight="1">
      <c r="A695" s="10"/>
      <c r="B695" s="4"/>
      <c r="C695" s="4"/>
      <c r="D695" s="4"/>
      <c r="E695" s="11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75" customHeight="1">
      <c r="A696" s="10"/>
      <c r="B696" s="4"/>
      <c r="C696" s="4"/>
      <c r="D696" s="4"/>
      <c r="E696" s="11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75" customHeight="1">
      <c r="A697" s="10"/>
      <c r="B697" s="4"/>
      <c r="C697" s="4"/>
      <c r="D697" s="4"/>
      <c r="E697" s="11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75" customHeight="1">
      <c r="A698" s="10"/>
      <c r="B698" s="4"/>
      <c r="C698" s="4"/>
      <c r="D698" s="4"/>
      <c r="E698" s="11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75" customHeight="1">
      <c r="A699" s="10"/>
      <c r="B699" s="4"/>
      <c r="C699" s="4"/>
      <c r="D699" s="4"/>
      <c r="E699" s="11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75" customHeight="1">
      <c r="A700" s="10"/>
      <c r="B700" s="4"/>
      <c r="C700" s="4"/>
      <c r="D700" s="4"/>
      <c r="E700" s="11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75" customHeight="1">
      <c r="A701" s="10"/>
      <c r="B701" s="4"/>
      <c r="C701" s="4"/>
      <c r="D701" s="4"/>
      <c r="E701" s="11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75" customHeight="1">
      <c r="A702" s="10"/>
      <c r="B702" s="4"/>
      <c r="C702" s="4"/>
      <c r="D702" s="4"/>
      <c r="E702" s="11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75" customHeight="1">
      <c r="A703" s="10"/>
      <c r="B703" s="4"/>
      <c r="C703" s="4"/>
      <c r="D703" s="4"/>
      <c r="E703" s="11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75" customHeight="1">
      <c r="A704" s="10"/>
      <c r="B704" s="4"/>
      <c r="C704" s="4"/>
      <c r="D704" s="4"/>
      <c r="E704" s="11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75" customHeight="1">
      <c r="A705" s="10"/>
      <c r="B705" s="4"/>
      <c r="C705" s="4"/>
      <c r="D705" s="4"/>
      <c r="E705" s="11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75" customHeight="1">
      <c r="A706" s="10"/>
      <c r="B706" s="4"/>
      <c r="C706" s="4"/>
      <c r="D706" s="4"/>
      <c r="E706" s="11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75" customHeight="1">
      <c r="A707" s="10"/>
      <c r="B707" s="4"/>
      <c r="C707" s="4"/>
      <c r="D707" s="4"/>
      <c r="E707" s="11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75" customHeight="1">
      <c r="A708" s="10"/>
      <c r="B708" s="4"/>
      <c r="C708" s="4"/>
      <c r="D708" s="4"/>
      <c r="E708" s="11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75" customHeight="1">
      <c r="A709" s="10"/>
      <c r="B709" s="4"/>
      <c r="C709" s="4"/>
      <c r="D709" s="4"/>
      <c r="E709" s="11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75" customHeight="1">
      <c r="A710" s="10"/>
      <c r="B710" s="4"/>
      <c r="C710" s="4"/>
      <c r="D710" s="4"/>
      <c r="E710" s="11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75" customHeight="1">
      <c r="A711" s="10"/>
      <c r="B711" s="4"/>
      <c r="C711" s="4"/>
      <c r="D711" s="4"/>
      <c r="E711" s="11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75" customHeight="1">
      <c r="A712" s="10"/>
      <c r="B712" s="4"/>
      <c r="C712" s="4"/>
      <c r="D712" s="4"/>
      <c r="E712" s="11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75" customHeight="1">
      <c r="A713" s="10"/>
      <c r="B713" s="4"/>
      <c r="C713" s="4"/>
      <c r="D713" s="4"/>
      <c r="E713" s="11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75" customHeight="1">
      <c r="A714" s="10"/>
      <c r="B714" s="4"/>
      <c r="C714" s="4"/>
      <c r="D714" s="4"/>
      <c r="E714" s="11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75" customHeight="1">
      <c r="A715" s="10"/>
      <c r="B715" s="4"/>
      <c r="C715" s="4"/>
      <c r="D715" s="4"/>
      <c r="E715" s="11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75" customHeight="1">
      <c r="A716" s="10"/>
      <c r="B716" s="4"/>
      <c r="C716" s="4"/>
      <c r="D716" s="4"/>
      <c r="E716" s="11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75" customHeight="1">
      <c r="A717" s="10"/>
      <c r="B717" s="4"/>
      <c r="C717" s="4"/>
      <c r="D717" s="4"/>
      <c r="E717" s="11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75" customHeight="1">
      <c r="A718" s="10"/>
      <c r="B718" s="4"/>
      <c r="C718" s="4"/>
      <c r="D718" s="4"/>
      <c r="E718" s="11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75" customHeight="1">
      <c r="A719" s="10"/>
      <c r="B719" s="4"/>
      <c r="C719" s="4"/>
      <c r="D719" s="4"/>
      <c r="E719" s="11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75" customHeight="1">
      <c r="A720" s="10"/>
      <c r="B720" s="4"/>
      <c r="C720" s="4"/>
      <c r="D720" s="4"/>
      <c r="E720" s="11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75" customHeight="1">
      <c r="A721" s="10"/>
      <c r="B721" s="4"/>
      <c r="C721" s="4"/>
      <c r="D721" s="4"/>
      <c r="E721" s="11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75" customHeight="1">
      <c r="A722" s="10"/>
      <c r="B722" s="4"/>
      <c r="C722" s="4"/>
      <c r="D722" s="4"/>
      <c r="E722" s="11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75" customHeight="1">
      <c r="A723" s="10"/>
      <c r="B723" s="4"/>
      <c r="C723" s="4"/>
      <c r="D723" s="4"/>
      <c r="E723" s="11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75" customHeight="1">
      <c r="A724" s="10"/>
      <c r="B724" s="4"/>
      <c r="C724" s="4"/>
      <c r="D724" s="4"/>
      <c r="E724" s="11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75" customHeight="1">
      <c r="A725" s="10"/>
      <c r="B725" s="4"/>
      <c r="C725" s="4"/>
      <c r="D725" s="4"/>
      <c r="E725" s="11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75" customHeight="1">
      <c r="A726" s="10"/>
      <c r="B726" s="4"/>
      <c r="C726" s="4"/>
      <c r="D726" s="4"/>
      <c r="E726" s="11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75" customHeight="1">
      <c r="A727" s="10"/>
      <c r="B727" s="4"/>
      <c r="C727" s="4"/>
      <c r="D727" s="4"/>
      <c r="E727" s="11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75" customHeight="1">
      <c r="A728" s="10"/>
      <c r="B728" s="4"/>
      <c r="C728" s="4"/>
      <c r="D728" s="4"/>
      <c r="E728" s="11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75" customHeight="1">
      <c r="A729" s="10"/>
      <c r="B729" s="4"/>
      <c r="C729" s="4"/>
      <c r="D729" s="4"/>
      <c r="E729" s="11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75" customHeight="1">
      <c r="A730" s="10"/>
      <c r="B730" s="4"/>
      <c r="C730" s="4"/>
      <c r="D730" s="4"/>
      <c r="E730" s="11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75" customHeight="1">
      <c r="A731" s="10"/>
      <c r="B731" s="4"/>
      <c r="C731" s="4"/>
      <c r="D731" s="4"/>
      <c r="E731" s="11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75" customHeight="1">
      <c r="A732" s="10"/>
      <c r="B732" s="4"/>
      <c r="C732" s="4"/>
      <c r="D732" s="4"/>
      <c r="E732" s="11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75" customHeight="1">
      <c r="A733" s="10"/>
      <c r="B733" s="4"/>
      <c r="C733" s="4"/>
      <c r="D733" s="4"/>
      <c r="E733" s="11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75" customHeight="1">
      <c r="A734" s="10"/>
      <c r="B734" s="4"/>
      <c r="C734" s="4"/>
      <c r="D734" s="4"/>
      <c r="E734" s="11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75" customHeight="1">
      <c r="A735" s="10"/>
      <c r="B735" s="4"/>
      <c r="C735" s="4"/>
      <c r="D735" s="4"/>
      <c r="E735" s="11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75" customHeight="1">
      <c r="A736" s="10"/>
      <c r="B736" s="4"/>
      <c r="C736" s="4"/>
      <c r="D736" s="4"/>
      <c r="E736" s="11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75" customHeight="1">
      <c r="A737" s="10"/>
      <c r="B737" s="4"/>
      <c r="C737" s="4"/>
      <c r="D737" s="4"/>
      <c r="E737" s="11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75" customHeight="1">
      <c r="A738" s="10"/>
      <c r="B738" s="4"/>
      <c r="C738" s="4"/>
      <c r="D738" s="4"/>
      <c r="E738" s="11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75" customHeight="1">
      <c r="A739" s="10"/>
      <c r="B739" s="4"/>
      <c r="C739" s="4"/>
      <c r="D739" s="4"/>
      <c r="E739" s="11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75" customHeight="1">
      <c r="A740" s="10"/>
      <c r="B740" s="4"/>
      <c r="C740" s="4"/>
      <c r="D740" s="4"/>
      <c r="E740" s="11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75" customHeight="1">
      <c r="A741" s="10"/>
      <c r="B741" s="4"/>
      <c r="C741" s="4"/>
      <c r="D741" s="4"/>
      <c r="E741" s="11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75" customHeight="1">
      <c r="A742" s="10"/>
      <c r="B742" s="4"/>
      <c r="C742" s="4"/>
      <c r="D742" s="4"/>
      <c r="E742" s="11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75" customHeight="1">
      <c r="A743" s="10"/>
      <c r="B743" s="4"/>
      <c r="C743" s="4"/>
      <c r="D743" s="4"/>
      <c r="E743" s="11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75" customHeight="1">
      <c r="A744" s="10"/>
      <c r="B744" s="4"/>
      <c r="C744" s="4"/>
      <c r="D744" s="4"/>
      <c r="E744" s="11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75" customHeight="1">
      <c r="A745" s="10"/>
      <c r="B745" s="4"/>
      <c r="C745" s="4"/>
      <c r="D745" s="4"/>
      <c r="E745" s="11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75" customHeight="1">
      <c r="A746" s="10"/>
      <c r="B746" s="4"/>
      <c r="C746" s="4"/>
      <c r="D746" s="4"/>
      <c r="E746" s="11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75" customHeight="1">
      <c r="A747" s="10"/>
      <c r="B747" s="4"/>
      <c r="C747" s="4"/>
      <c r="D747" s="4"/>
      <c r="E747" s="11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75" customHeight="1">
      <c r="A748" s="10"/>
      <c r="B748" s="4"/>
      <c r="C748" s="4"/>
      <c r="D748" s="4"/>
      <c r="E748" s="11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75" customHeight="1">
      <c r="A749" s="10"/>
      <c r="B749" s="4"/>
      <c r="C749" s="4"/>
      <c r="D749" s="4"/>
      <c r="E749" s="11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75" customHeight="1">
      <c r="A750" s="10"/>
      <c r="B750" s="4"/>
      <c r="C750" s="4"/>
      <c r="D750" s="4"/>
      <c r="E750" s="11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75" customHeight="1">
      <c r="A751" s="10"/>
      <c r="B751" s="4"/>
      <c r="C751" s="4"/>
      <c r="D751" s="4"/>
      <c r="E751" s="11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75" customHeight="1">
      <c r="A752" s="10"/>
      <c r="B752" s="4"/>
      <c r="C752" s="4"/>
      <c r="D752" s="4"/>
      <c r="E752" s="11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75" customHeight="1">
      <c r="A753" s="10"/>
      <c r="B753" s="4"/>
      <c r="C753" s="4"/>
      <c r="D753" s="4"/>
      <c r="E753" s="11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75" customHeight="1">
      <c r="A754" s="10"/>
      <c r="B754" s="4"/>
      <c r="C754" s="4"/>
      <c r="D754" s="4"/>
      <c r="E754" s="11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75" customHeight="1">
      <c r="A755" s="10"/>
      <c r="B755" s="4"/>
      <c r="C755" s="4"/>
      <c r="D755" s="4"/>
      <c r="E755" s="11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75" customHeight="1">
      <c r="A756" s="10"/>
      <c r="B756" s="4"/>
      <c r="C756" s="4"/>
      <c r="D756" s="4"/>
      <c r="E756" s="11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75" customHeight="1">
      <c r="A757" s="10"/>
      <c r="B757" s="4"/>
      <c r="C757" s="4"/>
      <c r="D757" s="4"/>
      <c r="E757" s="11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75" customHeight="1">
      <c r="A758" s="10"/>
      <c r="B758" s="4"/>
      <c r="C758" s="4"/>
      <c r="D758" s="4"/>
      <c r="E758" s="11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75" customHeight="1">
      <c r="A759" s="10"/>
      <c r="B759" s="4"/>
      <c r="C759" s="4"/>
      <c r="D759" s="4"/>
      <c r="E759" s="11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75" customHeight="1">
      <c r="A760" s="10"/>
      <c r="B760" s="4"/>
      <c r="C760" s="4"/>
      <c r="D760" s="4"/>
      <c r="E760" s="11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75" customHeight="1">
      <c r="A761" s="10"/>
      <c r="B761" s="4"/>
      <c r="C761" s="4"/>
      <c r="D761" s="4"/>
      <c r="E761" s="11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75" customHeight="1">
      <c r="A762" s="10"/>
      <c r="B762" s="4"/>
      <c r="C762" s="4"/>
      <c r="D762" s="4"/>
      <c r="E762" s="11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75" customHeight="1">
      <c r="A763" s="10"/>
      <c r="B763" s="4"/>
      <c r="C763" s="4"/>
      <c r="D763" s="4"/>
      <c r="E763" s="11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75" customHeight="1">
      <c r="A764" s="10"/>
      <c r="B764" s="4"/>
      <c r="C764" s="4"/>
      <c r="D764" s="4"/>
      <c r="E764" s="11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75" customHeight="1">
      <c r="A765" s="10"/>
      <c r="B765" s="4"/>
      <c r="C765" s="4"/>
      <c r="D765" s="4"/>
      <c r="E765" s="11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75" customHeight="1">
      <c r="A766" s="10"/>
      <c r="B766" s="4"/>
      <c r="C766" s="4"/>
      <c r="D766" s="4"/>
      <c r="E766" s="11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75" customHeight="1">
      <c r="A767" s="10"/>
      <c r="B767" s="4"/>
      <c r="C767" s="4"/>
      <c r="D767" s="4"/>
      <c r="E767" s="11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75" customHeight="1">
      <c r="A768" s="10"/>
      <c r="B768" s="4"/>
      <c r="C768" s="4"/>
      <c r="D768" s="4"/>
      <c r="E768" s="11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75" customHeight="1">
      <c r="A769" s="10"/>
      <c r="B769" s="4"/>
      <c r="C769" s="4"/>
      <c r="D769" s="4"/>
      <c r="E769" s="11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75" customHeight="1">
      <c r="A770" s="10"/>
      <c r="B770" s="4"/>
      <c r="C770" s="4"/>
      <c r="D770" s="4"/>
      <c r="E770" s="11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75" customHeight="1">
      <c r="A771" s="10"/>
      <c r="B771" s="4"/>
      <c r="C771" s="4"/>
      <c r="D771" s="4"/>
      <c r="E771" s="11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75" customHeight="1">
      <c r="A772" s="10"/>
      <c r="B772" s="4"/>
      <c r="C772" s="4"/>
      <c r="D772" s="4"/>
      <c r="E772" s="11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75" customHeight="1">
      <c r="A773" s="10"/>
      <c r="B773" s="4"/>
      <c r="C773" s="4"/>
      <c r="D773" s="4"/>
      <c r="E773" s="11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75" customHeight="1">
      <c r="A774" s="10"/>
      <c r="B774" s="4"/>
      <c r="C774" s="4"/>
      <c r="D774" s="4"/>
      <c r="E774" s="11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75" customHeight="1">
      <c r="A775" s="10"/>
      <c r="B775" s="4"/>
      <c r="C775" s="4"/>
      <c r="D775" s="4"/>
      <c r="E775" s="11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75" customHeight="1">
      <c r="A776" s="10"/>
      <c r="B776" s="4"/>
      <c r="C776" s="4"/>
      <c r="D776" s="4"/>
      <c r="E776" s="11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75" customHeight="1">
      <c r="A777" s="10"/>
      <c r="B777" s="4"/>
      <c r="C777" s="4"/>
      <c r="D777" s="4"/>
      <c r="E777" s="11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75" customHeight="1">
      <c r="A778" s="10"/>
      <c r="B778" s="4"/>
      <c r="C778" s="4"/>
      <c r="D778" s="4"/>
      <c r="E778" s="11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75" customHeight="1">
      <c r="A779" s="10"/>
      <c r="B779" s="4"/>
      <c r="C779" s="4"/>
      <c r="D779" s="4"/>
      <c r="E779" s="11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75" customHeight="1">
      <c r="A780" s="10"/>
      <c r="B780" s="4"/>
      <c r="C780" s="4"/>
      <c r="D780" s="4"/>
      <c r="E780" s="11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75" customHeight="1">
      <c r="A781" s="10"/>
      <c r="B781" s="4"/>
      <c r="C781" s="4"/>
      <c r="D781" s="4"/>
      <c r="E781" s="11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75" customHeight="1">
      <c r="A782" s="10"/>
      <c r="B782" s="4"/>
      <c r="C782" s="4"/>
      <c r="D782" s="4"/>
      <c r="E782" s="11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75" customHeight="1">
      <c r="A783" s="10"/>
      <c r="B783" s="4"/>
      <c r="C783" s="4"/>
      <c r="D783" s="4"/>
      <c r="E783" s="11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75" customHeight="1">
      <c r="A784" s="10"/>
      <c r="B784" s="4"/>
      <c r="C784" s="4"/>
      <c r="D784" s="4"/>
      <c r="E784" s="11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75" customHeight="1">
      <c r="A785" s="10"/>
      <c r="B785" s="4"/>
      <c r="C785" s="4"/>
      <c r="D785" s="4"/>
      <c r="E785" s="11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75" customHeight="1">
      <c r="A786" s="10"/>
      <c r="B786" s="4"/>
      <c r="C786" s="4"/>
      <c r="D786" s="4"/>
      <c r="E786" s="11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75" customHeight="1">
      <c r="A787" s="10"/>
      <c r="B787" s="4"/>
      <c r="C787" s="4"/>
      <c r="D787" s="4"/>
      <c r="E787" s="11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75" customHeight="1">
      <c r="A788" s="10"/>
      <c r="B788" s="4"/>
      <c r="C788" s="4"/>
      <c r="D788" s="4"/>
      <c r="E788" s="11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75" customHeight="1">
      <c r="A789" s="10"/>
      <c r="B789" s="4"/>
      <c r="C789" s="4"/>
      <c r="D789" s="4"/>
      <c r="E789" s="11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75" customHeight="1">
      <c r="A790" s="10"/>
      <c r="B790" s="4"/>
      <c r="C790" s="4"/>
      <c r="D790" s="4"/>
      <c r="E790" s="11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75" customHeight="1">
      <c r="A791" s="10"/>
      <c r="B791" s="4"/>
      <c r="C791" s="4"/>
      <c r="D791" s="4"/>
      <c r="E791" s="11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75" customHeight="1">
      <c r="A792" s="10"/>
      <c r="B792" s="4"/>
      <c r="C792" s="4"/>
      <c r="D792" s="4"/>
      <c r="E792" s="11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75" customHeight="1">
      <c r="A793" s="10"/>
      <c r="B793" s="4"/>
      <c r="C793" s="4"/>
      <c r="D793" s="4"/>
      <c r="E793" s="11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75" customHeight="1">
      <c r="A794" s="10"/>
      <c r="B794" s="4"/>
      <c r="C794" s="4"/>
      <c r="D794" s="4"/>
      <c r="E794" s="11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75" customHeight="1">
      <c r="A795" s="10"/>
      <c r="B795" s="4"/>
      <c r="C795" s="4"/>
      <c r="D795" s="4"/>
      <c r="E795" s="11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75" customHeight="1">
      <c r="A796" s="10"/>
      <c r="B796" s="4"/>
      <c r="C796" s="4"/>
      <c r="D796" s="4"/>
      <c r="E796" s="11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75" customHeight="1">
      <c r="A797" s="10"/>
      <c r="B797" s="4"/>
      <c r="C797" s="4"/>
      <c r="D797" s="4"/>
      <c r="E797" s="11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75" customHeight="1">
      <c r="A798" s="10"/>
      <c r="B798" s="4"/>
      <c r="C798" s="4"/>
      <c r="D798" s="4"/>
      <c r="E798" s="11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75" customHeight="1">
      <c r="A799" s="10"/>
      <c r="B799" s="4"/>
      <c r="C799" s="4"/>
      <c r="D799" s="4"/>
      <c r="E799" s="11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75" customHeight="1">
      <c r="A800" s="10"/>
      <c r="B800" s="4"/>
      <c r="C800" s="4"/>
      <c r="D800" s="4"/>
      <c r="E800" s="11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75" customHeight="1">
      <c r="A801" s="10"/>
      <c r="B801" s="4"/>
      <c r="C801" s="4"/>
      <c r="D801" s="4"/>
      <c r="E801" s="11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75" customHeight="1">
      <c r="A802" s="10"/>
      <c r="B802" s="4"/>
      <c r="C802" s="4"/>
      <c r="D802" s="4"/>
      <c r="E802" s="11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75" customHeight="1">
      <c r="A803" s="10"/>
      <c r="B803" s="4"/>
      <c r="C803" s="4"/>
      <c r="D803" s="4"/>
      <c r="E803" s="11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75" customHeight="1">
      <c r="A804" s="10"/>
      <c r="B804" s="4"/>
      <c r="C804" s="4"/>
      <c r="D804" s="4"/>
      <c r="E804" s="11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75" customHeight="1">
      <c r="A805" s="10"/>
      <c r="B805" s="4"/>
      <c r="C805" s="4"/>
      <c r="D805" s="4"/>
      <c r="E805" s="11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75" customHeight="1">
      <c r="A806" s="10"/>
      <c r="B806" s="4"/>
      <c r="C806" s="4"/>
      <c r="D806" s="4"/>
      <c r="E806" s="11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75" customHeight="1">
      <c r="A807" s="10"/>
      <c r="B807" s="4"/>
      <c r="C807" s="4"/>
      <c r="D807" s="4"/>
      <c r="E807" s="11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75" customHeight="1">
      <c r="A808" s="10"/>
      <c r="B808" s="4"/>
      <c r="C808" s="4"/>
      <c r="D808" s="4"/>
      <c r="E808" s="11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75" customHeight="1">
      <c r="A809" s="10"/>
      <c r="B809" s="4"/>
      <c r="C809" s="4"/>
      <c r="D809" s="4"/>
      <c r="E809" s="11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75" customHeight="1">
      <c r="A810" s="10"/>
      <c r="B810" s="4"/>
      <c r="C810" s="4"/>
      <c r="D810" s="4"/>
      <c r="E810" s="11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75" customHeight="1">
      <c r="A811" s="10"/>
      <c r="B811" s="4"/>
      <c r="C811" s="4"/>
      <c r="D811" s="4"/>
      <c r="E811" s="11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75" customHeight="1">
      <c r="A812" s="10"/>
      <c r="B812" s="4"/>
      <c r="C812" s="4"/>
      <c r="D812" s="4"/>
      <c r="E812" s="11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75" customHeight="1">
      <c r="A813" s="10"/>
      <c r="B813" s="4"/>
      <c r="C813" s="4"/>
      <c r="D813" s="4"/>
      <c r="E813" s="11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75" customHeight="1">
      <c r="A814" s="10"/>
      <c r="B814" s="4"/>
      <c r="C814" s="4"/>
      <c r="D814" s="4"/>
      <c r="E814" s="11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75" customHeight="1">
      <c r="A815" s="10"/>
      <c r="B815" s="4"/>
      <c r="C815" s="4"/>
      <c r="D815" s="4"/>
      <c r="E815" s="11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75" customHeight="1">
      <c r="A816" s="10"/>
      <c r="B816" s="4"/>
      <c r="C816" s="4"/>
      <c r="D816" s="4"/>
      <c r="E816" s="11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75" customHeight="1">
      <c r="A817" s="10"/>
      <c r="B817" s="4"/>
      <c r="C817" s="4"/>
      <c r="D817" s="4"/>
      <c r="E817" s="11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75" customHeight="1">
      <c r="A818" s="10"/>
      <c r="B818" s="4"/>
      <c r="C818" s="4"/>
      <c r="D818" s="4"/>
      <c r="E818" s="11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75" customHeight="1">
      <c r="A819" s="10"/>
      <c r="B819" s="4"/>
      <c r="C819" s="4"/>
      <c r="D819" s="4"/>
      <c r="E819" s="11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75" customHeight="1">
      <c r="A820" s="10"/>
      <c r="B820" s="4"/>
      <c r="C820" s="4"/>
      <c r="D820" s="4"/>
      <c r="E820" s="11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75" customHeight="1">
      <c r="A821" s="10"/>
      <c r="B821" s="4"/>
      <c r="C821" s="4"/>
      <c r="D821" s="4"/>
      <c r="E821" s="11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75" customHeight="1">
      <c r="A822" s="10"/>
      <c r="B822" s="4"/>
      <c r="C822" s="4"/>
      <c r="D822" s="4"/>
      <c r="E822" s="11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75" customHeight="1">
      <c r="A823" s="10"/>
      <c r="B823" s="4"/>
      <c r="C823" s="4"/>
      <c r="D823" s="4"/>
      <c r="E823" s="11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75" customHeight="1">
      <c r="A824" s="10"/>
      <c r="B824" s="4"/>
      <c r="C824" s="4"/>
      <c r="D824" s="4"/>
      <c r="E824" s="11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75" customHeight="1">
      <c r="A825" s="10"/>
      <c r="B825" s="4"/>
      <c r="C825" s="4"/>
      <c r="D825" s="4"/>
      <c r="E825" s="11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75" customHeight="1">
      <c r="A826" s="10"/>
      <c r="B826" s="4"/>
      <c r="C826" s="4"/>
      <c r="D826" s="4"/>
      <c r="E826" s="11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75" customHeight="1">
      <c r="A827" s="10"/>
      <c r="B827" s="4"/>
      <c r="C827" s="4"/>
      <c r="D827" s="4"/>
      <c r="E827" s="11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75" customHeight="1">
      <c r="A828" s="10"/>
      <c r="B828" s="4"/>
      <c r="C828" s="4"/>
      <c r="D828" s="4"/>
      <c r="E828" s="11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75" customHeight="1">
      <c r="A829" s="10"/>
      <c r="B829" s="4"/>
      <c r="C829" s="4"/>
      <c r="D829" s="4"/>
      <c r="E829" s="11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75" customHeight="1">
      <c r="A830" s="10"/>
      <c r="B830" s="4"/>
      <c r="C830" s="4"/>
      <c r="D830" s="4"/>
      <c r="E830" s="11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75" customHeight="1">
      <c r="A831" s="10"/>
      <c r="B831" s="4"/>
      <c r="C831" s="4"/>
      <c r="D831" s="4"/>
      <c r="E831" s="11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75" customHeight="1">
      <c r="A832" s="10"/>
      <c r="B832" s="4"/>
      <c r="C832" s="4"/>
      <c r="D832" s="4"/>
      <c r="E832" s="11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75" customHeight="1">
      <c r="A833" s="10"/>
      <c r="B833" s="4"/>
      <c r="C833" s="4"/>
      <c r="D833" s="4"/>
      <c r="E833" s="11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75" customHeight="1">
      <c r="A834" s="10"/>
      <c r="B834" s="4"/>
      <c r="C834" s="4"/>
      <c r="D834" s="4"/>
      <c r="E834" s="11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75" customHeight="1">
      <c r="A835" s="10"/>
      <c r="B835" s="4"/>
      <c r="C835" s="4"/>
      <c r="D835" s="4"/>
      <c r="E835" s="11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75" customHeight="1">
      <c r="A836" s="10"/>
      <c r="B836" s="4"/>
      <c r="C836" s="4"/>
      <c r="D836" s="4"/>
      <c r="E836" s="11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75" customHeight="1">
      <c r="A837" s="10"/>
      <c r="B837" s="4"/>
      <c r="C837" s="4"/>
      <c r="D837" s="4"/>
      <c r="E837" s="11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75" customHeight="1">
      <c r="A838" s="10"/>
      <c r="B838" s="4"/>
      <c r="C838" s="4"/>
      <c r="D838" s="4"/>
      <c r="E838" s="11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75" customHeight="1">
      <c r="A839" s="10"/>
      <c r="B839" s="4"/>
      <c r="C839" s="4"/>
      <c r="D839" s="4"/>
      <c r="E839" s="11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75" customHeight="1">
      <c r="A840" s="10"/>
      <c r="B840" s="4"/>
      <c r="C840" s="4"/>
      <c r="D840" s="4"/>
      <c r="E840" s="11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75" customHeight="1">
      <c r="A841" s="10"/>
      <c r="B841" s="4"/>
      <c r="C841" s="4"/>
      <c r="D841" s="4"/>
      <c r="E841" s="11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75" customHeight="1">
      <c r="A842" s="10"/>
      <c r="B842" s="4"/>
      <c r="C842" s="4"/>
      <c r="D842" s="4"/>
      <c r="E842" s="11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75" customHeight="1">
      <c r="A843" s="10"/>
      <c r="B843" s="4"/>
      <c r="C843" s="4"/>
      <c r="D843" s="4"/>
      <c r="E843" s="11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75" customHeight="1">
      <c r="A844" s="10"/>
      <c r="B844" s="4"/>
      <c r="C844" s="4"/>
      <c r="D844" s="4"/>
      <c r="E844" s="11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75" customHeight="1">
      <c r="A845" s="10"/>
      <c r="B845" s="4"/>
      <c r="C845" s="4"/>
      <c r="D845" s="4"/>
      <c r="E845" s="11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75" customHeight="1">
      <c r="A846" s="10"/>
      <c r="B846" s="4"/>
      <c r="C846" s="4"/>
      <c r="D846" s="4"/>
      <c r="E846" s="11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75" customHeight="1">
      <c r="A847" s="10"/>
      <c r="B847" s="4"/>
      <c r="C847" s="4"/>
      <c r="D847" s="4"/>
      <c r="E847" s="11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75" customHeight="1">
      <c r="A848" s="10"/>
      <c r="B848" s="4"/>
      <c r="C848" s="4"/>
      <c r="D848" s="4"/>
      <c r="E848" s="11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75" customHeight="1">
      <c r="A849" s="10"/>
      <c r="B849" s="4"/>
      <c r="C849" s="4"/>
      <c r="D849" s="4"/>
      <c r="E849" s="11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75" customHeight="1">
      <c r="A850" s="10"/>
      <c r="B850" s="4"/>
      <c r="C850" s="4"/>
      <c r="D850" s="4"/>
      <c r="E850" s="11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75" customHeight="1">
      <c r="A851" s="10"/>
      <c r="B851" s="4"/>
      <c r="C851" s="4"/>
      <c r="D851" s="4"/>
      <c r="E851" s="11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75" customHeight="1">
      <c r="A852" s="10"/>
      <c r="B852" s="4"/>
      <c r="C852" s="4"/>
      <c r="D852" s="4"/>
      <c r="E852" s="11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75" customHeight="1">
      <c r="A853" s="10"/>
      <c r="B853" s="4"/>
      <c r="C853" s="4"/>
      <c r="D853" s="4"/>
      <c r="E853" s="11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75" customHeight="1">
      <c r="A854" s="10"/>
      <c r="B854" s="4"/>
      <c r="C854" s="4"/>
      <c r="D854" s="4"/>
      <c r="E854" s="11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75" customHeight="1">
      <c r="A855" s="10"/>
      <c r="B855" s="4"/>
      <c r="C855" s="4"/>
      <c r="D855" s="4"/>
      <c r="E855" s="11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75" customHeight="1">
      <c r="A856" s="10"/>
      <c r="B856" s="4"/>
      <c r="C856" s="4"/>
      <c r="D856" s="4"/>
      <c r="E856" s="11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75" customHeight="1">
      <c r="A857" s="10"/>
      <c r="B857" s="4"/>
      <c r="C857" s="4"/>
      <c r="D857" s="4"/>
      <c r="E857" s="11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75" customHeight="1">
      <c r="A858" s="10"/>
      <c r="B858" s="4"/>
      <c r="C858" s="4"/>
      <c r="D858" s="4"/>
      <c r="E858" s="11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75" customHeight="1">
      <c r="A859" s="10"/>
      <c r="B859" s="4"/>
      <c r="C859" s="4"/>
      <c r="D859" s="4"/>
      <c r="E859" s="11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75" customHeight="1">
      <c r="A860" s="10"/>
      <c r="B860" s="4"/>
      <c r="C860" s="4"/>
      <c r="D860" s="4"/>
      <c r="E860" s="11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75" customHeight="1">
      <c r="A861" s="10"/>
      <c r="B861" s="4"/>
      <c r="C861" s="4"/>
      <c r="D861" s="4"/>
      <c r="E861" s="11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75" customHeight="1">
      <c r="A862" s="10"/>
      <c r="B862" s="4"/>
      <c r="C862" s="4"/>
      <c r="D862" s="4"/>
      <c r="E862" s="11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75" customHeight="1">
      <c r="A863" s="10"/>
      <c r="B863" s="4"/>
      <c r="C863" s="4"/>
      <c r="D863" s="4"/>
      <c r="E863" s="11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75" customHeight="1">
      <c r="A864" s="10"/>
      <c r="B864" s="4"/>
      <c r="C864" s="4"/>
      <c r="D864" s="4"/>
      <c r="E864" s="11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75" customHeight="1">
      <c r="A865" s="10"/>
      <c r="B865" s="4"/>
      <c r="C865" s="4"/>
      <c r="D865" s="4"/>
      <c r="E865" s="11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75" customHeight="1">
      <c r="A866" s="10"/>
      <c r="B866" s="4"/>
      <c r="C866" s="4"/>
      <c r="D866" s="4"/>
      <c r="E866" s="11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75" customHeight="1">
      <c r="A867" s="10"/>
      <c r="B867" s="4"/>
      <c r="C867" s="4"/>
      <c r="D867" s="4"/>
      <c r="E867" s="11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75" customHeight="1">
      <c r="A868" s="10"/>
      <c r="B868" s="4"/>
      <c r="C868" s="4"/>
      <c r="D868" s="4"/>
      <c r="E868" s="11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75" customHeight="1">
      <c r="A869" s="10"/>
      <c r="B869" s="4"/>
      <c r="C869" s="4"/>
      <c r="D869" s="4"/>
      <c r="E869" s="11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75" customHeight="1">
      <c r="A870" s="10"/>
      <c r="B870" s="4"/>
      <c r="C870" s="4"/>
      <c r="D870" s="4"/>
      <c r="E870" s="11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75" customHeight="1">
      <c r="A871" s="10"/>
      <c r="B871" s="4"/>
      <c r="C871" s="4"/>
      <c r="D871" s="4"/>
      <c r="E871" s="11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75" customHeight="1">
      <c r="A872" s="10"/>
      <c r="B872" s="4"/>
      <c r="C872" s="4"/>
      <c r="D872" s="4"/>
      <c r="E872" s="11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75" customHeight="1">
      <c r="A873" s="10"/>
      <c r="B873" s="4"/>
      <c r="C873" s="4"/>
      <c r="D873" s="4"/>
      <c r="E873" s="11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75" customHeight="1">
      <c r="A874" s="10"/>
      <c r="B874" s="4"/>
      <c r="C874" s="4"/>
      <c r="D874" s="4"/>
      <c r="E874" s="11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75" customHeight="1">
      <c r="A875" s="10"/>
      <c r="B875" s="4"/>
      <c r="C875" s="4"/>
      <c r="D875" s="4"/>
      <c r="E875" s="11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75" customHeight="1">
      <c r="A876" s="10"/>
      <c r="B876" s="4"/>
      <c r="C876" s="4"/>
      <c r="D876" s="4"/>
      <c r="E876" s="11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75" customHeight="1">
      <c r="A877" s="10"/>
      <c r="B877" s="4"/>
      <c r="C877" s="4"/>
      <c r="D877" s="4"/>
      <c r="E877" s="11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75" customHeight="1">
      <c r="A878" s="10"/>
      <c r="B878" s="4"/>
      <c r="C878" s="4"/>
      <c r="D878" s="4"/>
      <c r="E878" s="11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75" customHeight="1">
      <c r="A879" s="10"/>
      <c r="B879" s="4"/>
      <c r="C879" s="4"/>
      <c r="D879" s="4"/>
      <c r="E879" s="11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75" customHeight="1">
      <c r="A880" s="10"/>
      <c r="B880" s="4"/>
      <c r="C880" s="4"/>
      <c r="D880" s="4"/>
      <c r="E880" s="11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75" customHeight="1">
      <c r="A881" s="10"/>
      <c r="B881" s="4"/>
      <c r="C881" s="4"/>
      <c r="D881" s="4"/>
      <c r="E881" s="11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75" customHeight="1">
      <c r="A882" s="10"/>
      <c r="B882" s="4"/>
      <c r="C882" s="4"/>
      <c r="D882" s="4"/>
      <c r="E882" s="11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75" customHeight="1">
      <c r="A883" s="10"/>
      <c r="B883" s="4"/>
      <c r="C883" s="4"/>
      <c r="D883" s="4"/>
      <c r="E883" s="11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75" customHeight="1">
      <c r="A884" s="10"/>
      <c r="B884" s="4"/>
      <c r="C884" s="4"/>
      <c r="D884" s="4"/>
      <c r="E884" s="11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75" customHeight="1">
      <c r="A885" s="10"/>
      <c r="B885" s="4"/>
      <c r="C885" s="4"/>
      <c r="D885" s="4"/>
      <c r="E885" s="11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75" customHeight="1">
      <c r="A886" s="10"/>
      <c r="B886" s="4"/>
      <c r="C886" s="4"/>
      <c r="D886" s="4"/>
      <c r="E886" s="11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75" customHeight="1">
      <c r="A887" s="10"/>
      <c r="B887" s="4"/>
      <c r="C887" s="4"/>
      <c r="D887" s="4"/>
      <c r="E887" s="11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75" customHeight="1">
      <c r="A888" s="10"/>
      <c r="B888" s="4"/>
      <c r="C888" s="4"/>
      <c r="D888" s="4"/>
      <c r="E888" s="11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75" customHeight="1">
      <c r="A889" s="10"/>
      <c r="B889" s="4"/>
      <c r="C889" s="4"/>
      <c r="D889" s="4"/>
      <c r="E889" s="11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75" customHeight="1">
      <c r="A890" s="10"/>
      <c r="B890" s="4"/>
      <c r="C890" s="4"/>
      <c r="D890" s="4"/>
      <c r="E890" s="11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75" customHeight="1">
      <c r="A891" s="10"/>
      <c r="B891" s="4"/>
      <c r="C891" s="4"/>
      <c r="D891" s="4"/>
      <c r="E891" s="11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75" customHeight="1">
      <c r="A892" s="10"/>
      <c r="B892" s="4"/>
      <c r="C892" s="4"/>
      <c r="D892" s="4"/>
      <c r="E892" s="11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75" customHeight="1">
      <c r="A893" s="10"/>
      <c r="B893" s="4"/>
      <c r="C893" s="4"/>
      <c r="D893" s="4"/>
      <c r="E893" s="11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75" customHeight="1">
      <c r="A894" s="10"/>
      <c r="B894" s="4"/>
      <c r="C894" s="4"/>
      <c r="D894" s="4"/>
      <c r="E894" s="11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75" customHeight="1">
      <c r="A895" s="10"/>
      <c r="B895" s="4"/>
      <c r="C895" s="4"/>
      <c r="D895" s="4"/>
      <c r="E895" s="11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75" customHeight="1">
      <c r="A896" s="10"/>
      <c r="B896" s="4"/>
      <c r="C896" s="4"/>
      <c r="D896" s="4"/>
      <c r="E896" s="11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75" customHeight="1">
      <c r="A897" s="10"/>
      <c r="B897" s="4"/>
      <c r="C897" s="4"/>
      <c r="D897" s="4"/>
      <c r="E897" s="11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75" customHeight="1">
      <c r="A898" s="10"/>
      <c r="B898" s="4"/>
      <c r="C898" s="4"/>
      <c r="D898" s="4"/>
      <c r="E898" s="11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75" customHeight="1">
      <c r="A899" s="10"/>
      <c r="B899" s="4"/>
      <c r="C899" s="4"/>
      <c r="D899" s="4"/>
      <c r="E899" s="11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75" customHeight="1">
      <c r="A900" s="10"/>
      <c r="B900" s="4"/>
      <c r="C900" s="4"/>
      <c r="D900" s="4"/>
      <c r="E900" s="11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75" customHeight="1">
      <c r="A901" s="10"/>
      <c r="B901" s="4"/>
      <c r="C901" s="4"/>
      <c r="D901" s="4"/>
      <c r="E901" s="11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75" customHeight="1">
      <c r="A902" s="10"/>
      <c r="B902" s="4"/>
      <c r="C902" s="4"/>
      <c r="D902" s="4"/>
      <c r="E902" s="11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75" customHeight="1">
      <c r="A903" s="10"/>
      <c r="B903" s="4"/>
      <c r="C903" s="4"/>
      <c r="D903" s="4"/>
      <c r="E903" s="11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75" customHeight="1">
      <c r="A904" s="10"/>
      <c r="B904" s="4"/>
      <c r="C904" s="4"/>
      <c r="D904" s="4"/>
      <c r="E904" s="11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75" customHeight="1">
      <c r="A905" s="10"/>
      <c r="B905" s="4"/>
      <c r="C905" s="4"/>
      <c r="D905" s="4"/>
      <c r="E905" s="11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75" customHeight="1">
      <c r="A906" s="10"/>
      <c r="B906" s="4"/>
      <c r="C906" s="4"/>
      <c r="D906" s="4"/>
      <c r="E906" s="11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75" customHeight="1">
      <c r="A907" s="10"/>
      <c r="B907" s="4"/>
      <c r="C907" s="4"/>
      <c r="D907" s="4"/>
      <c r="E907" s="11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75" customHeight="1">
      <c r="A908" s="10"/>
      <c r="B908" s="4"/>
      <c r="C908" s="4"/>
      <c r="D908" s="4"/>
      <c r="E908" s="11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75" customHeight="1">
      <c r="A909" s="10"/>
      <c r="B909" s="4"/>
      <c r="C909" s="4"/>
      <c r="D909" s="4"/>
      <c r="E909" s="11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75" customHeight="1">
      <c r="A910" s="10"/>
      <c r="B910" s="4"/>
      <c r="C910" s="4"/>
      <c r="D910" s="4"/>
      <c r="E910" s="11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75" customHeight="1">
      <c r="A911" s="10"/>
      <c r="B911" s="4"/>
      <c r="C911" s="4"/>
      <c r="D911" s="4"/>
      <c r="E911" s="11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75" customHeight="1">
      <c r="A912" s="10"/>
      <c r="B912" s="4"/>
      <c r="C912" s="4"/>
      <c r="D912" s="4"/>
      <c r="E912" s="11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75" customHeight="1">
      <c r="A913" s="10"/>
      <c r="B913" s="4"/>
      <c r="C913" s="4"/>
      <c r="D913" s="4"/>
      <c r="E913" s="11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75" customHeight="1">
      <c r="A914" s="10"/>
      <c r="B914" s="4"/>
      <c r="C914" s="4"/>
      <c r="D914" s="4"/>
      <c r="E914" s="11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75" customHeight="1">
      <c r="A915" s="10"/>
      <c r="B915" s="4"/>
      <c r="C915" s="4"/>
      <c r="D915" s="4"/>
      <c r="E915" s="11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75" customHeight="1">
      <c r="A916" s="10"/>
      <c r="B916" s="4"/>
      <c r="C916" s="4"/>
      <c r="D916" s="4"/>
      <c r="E916" s="11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75" customHeight="1">
      <c r="A917" s="10"/>
      <c r="B917" s="4"/>
      <c r="C917" s="4"/>
      <c r="D917" s="4"/>
      <c r="E917" s="11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75" customHeight="1">
      <c r="A918" s="10"/>
      <c r="B918" s="4"/>
      <c r="C918" s="4"/>
      <c r="D918" s="4"/>
      <c r="E918" s="11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75" customHeight="1">
      <c r="A919" s="10"/>
      <c r="B919" s="4"/>
      <c r="C919" s="4"/>
      <c r="D919" s="4"/>
      <c r="E919" s="11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75" customHeight="1">
      <c r="A920" s="10"/>
      <c r="B920" s="4"/>
      <c r="C920" s="4"/>
      <c r="D920" s="4"/>
      <c r="E920" s="11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75" customHeight="1">
      <c r="A921" s="10"/>
      <c r="B921" s="4"/>
      <c r="C921" s="4"/>
      <c r="D921" s="4"/>
      <c r="E921" s="11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75" customHeight="1">
      <c r="A922" s="10"/>
      <c r="B922" s="4"/>
      <c r="C922" s="4"/>
      <c r="D922" s="4"/>
      <c r="E922" s="11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75" customHeight="1">
      <c r="A923" s="10"/>
      <c r="B923" s="4"/>
      <c r="C923" s="4"/>
      <c r="D923" s="4"/>
      <c r="E923" s="11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75" customHeight="1">
      <c r="A924" s="10"/>
      <c r="B924" s="4"/>
      <c r="C924" s="4"/>
      <c r="D924" s="4"/>
      <c r="E924" s="11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75" customHeight="1">
      <c r="A925" s="10"/>
      <c r="B925" s="4"/>
      <c r="C925" s="4"/>
      <c r="D925" s="4"/>
      <c r="E925" s="11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75" customHeight="1">
      <c r="A926" s="10"/>
      <c r="B926" s="4"/>
      <c r="C926" s="4"/>
      <c r="D926" s="4"/>
      <c r="E926" s="11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75" customHeight="1">
      <c r="A927" s="10"/>
      <c r="B927" s="4"/>
      <c r="C927" s="4"/>
      <c r="D927" s="4"/>
      <c r="E927" s="11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75" customHeight="1">
      <c r="A928" s="10"/>
      <c r="B928" s="4"/>
      <c r="C928" s="4"/>
      <c r="D928" s="4"/>
      <c r="E928" s="11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75" customHeight="1">
      <c r="A929" s="10"/>
      <c r="B929" s="4"/>
      <c r="C929" s="4"/>
      <c r="D929" s="4"/>
      <c r="E929" s="11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75" customHeight="1">
      <c r="A930" s="10"/>
      <c r="B930" s="4"/>
      <c r="C930" s="4"/>
      <c r="D930" s="4"/>
      <c r="E930" s="11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75" customHeight="1">
      <c r="A931" s="10"/>
      <c r="B931" s="4"/>
      <c r="C931" s="4"/>
      <c r="D931" s="4"/>
      <c r="E931" s="11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75" customHeight="1">
      <c r="A932" s="10"/>
      <c r="B932" s="4"/>
      <c r="C932" s="4"/>
      <c r="D932" s="4"/>
      <c r="E932" s="11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75" customHeight="1">
      <c r="A933" s="10"/>
      <c r="B933" s="4"/>
      <c r="C933" s="4"/>
      <c r="D933" s="4"/>
      <c r="E933" s="11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75" customHeight="1">
      <c r="A934" s="10"/>
      <c r="B934" s="4"/>
      <c r="C934" s="4"/>
      <c r="D934" s="4"/>
      <c r="E934" s="11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75" customHeight="1">
      <c r="A935" s="10"/>
      <c r="B935" s="4"/>
      <c r="C935" s="4"/>
      <c r="D935" s="4"/>
      <c r="E935" s="11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75" customHeight="1">
      <c r="A936" s="10"/>
      <c r="B936" s="4"/>
      <c r="C936" s="4"/>
      <c r="D936" s="4"/>
      <c r="E936" s="11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75" customHeight="1">
      <c r="A937" s="10"/>
      <c r="B937" s="4"/>
      <c r="C937" s="4"/>
      <c r="D937" s="4"/>
      <c r="E937" s="11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75" customHeight="1">
      <c r="A938" s="10"/>
      <c r="B938" s="4"/>
      <c r="C938" s="4"/>
      <c r="D938" s="4"/>
      <c r="E938" s="11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75" customHeight="1">
      <c r="A939" s="10"/>
      <c r="B939" s="4"/>
      <c r="C939" s="4"/>
      <c r="D939" s="4"/>
      <c r="E939" s="11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75" customHeight="1">
      <c r="A940" s="10"/>
      <c r="B940" s="4"/>
      <c r="C940" s="4"/>
      <c r="D940" s="4"/>
      <c r="E940" s="11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75" customHeight="1">
      <c r="A941" s="10"/>
      <c r="B941" s="4"/>
      <c r="C941" s="4"/>
      <c r="D941" s="4"/>
      <c r="E941" s="11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75" customHeight="1">
      <c r="A942" s="10"/>
      <c r="B942" s="4"/>
      <c r="C942" s="4"/>
      <c r="D942" s="4"/>
      <c r="E942" s="11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75" customHeight="1">
      <c r="A943" s="10"/>
      <c r="B943" s="4"/>
      <c r="C943" s="4"/>
      <c r="D943" s="4"/>
      <c r="E943" s="11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75" customHeight="1">
      <c r="A944" s="10"/>
      <c r="B944" s="4"/>
      <c r="C944" s="4"/>
      <c r="D944" s="4"/>
      <c r="E944" s="11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75" customHeight="1">
      <c r="A945" s="10"/>
      <c r="B945" s="4"/>
      <c r="C945" s="4"/>
      <c r="D945" s="4"/>
      <c r="E945" s="11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75" customHeight="1">
      <c r="A946" s="10"/>
      <c r="B946" s="4"/>
      <c r="C946" s="4"/>
      <c r="D946" s="4"/>
      <c r="E946" s="11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75" customHeight="1">
      <c r="A947" s="10"/>
      <c r="B947" s="4"/>
      <c r="C947" s="4"/>
      <c r="D947" s="4"/>
      <c r="E947" s="11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75" customHeight="1">
      <c r="A948" s="10"/>
      <c r="B948" s="4"/>
      <c r="C948" s="4"/>
      <c r="D948" s="4"/>
      <c r="E948" s="11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75" customHeight="1">
      <c r="A949" s="10"/>
      <c r="B949" s="4"/>
      <c r="C949" s="4"/>
      <c r="D949" s="4"/>
      <c r="E949" s="11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75" customHeight="1">
      <c r="A950" s="10"/>
      <c r="B950" s="4"/>
      <c r="C950" s="4"/>
      <c r="D950" s="4"/>
      <c r="E950" s="11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75" customHeight="1">
      <c r="A951" s="10"/>
      <c r="B951" s="4"/>
      <c r="C951" s="4"/>
      <c r="D951" s="4"/>
      <c r="E951" s="11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75" customHeight="1">
      <c r="A952" s="10"/>
      <c r="B952" s="4"/>
      <c r="C952" s="4"/>
      <c r="D952" s="4"/>
      <c r="E952" s="11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75" customHeight="1">
      <c r="A953" s="10"/>
      <c r="B953" s="4"/>
      <c r="C953" s="4"/>
      <c r="D953" s="4"/>
      <c r="E953" s="11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75" customHeight="1">
      <c r="A954" s="10"/>
      <c r="B954" s="4"/>
      <c r="C954" s="4"/>
      <c r="D954" s="4"/>
      <c r="E954" s="11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75" customHeight="1">
      <c r="A955" s="10"/>
      <c r="B955" s="4"/>
      <c r="C955" s="4"/>
      <c r="D955" s="4"/>
      <c r="E955" s="11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75" customHeight="1">
      <c r="A956" s="10"/>
      <c r="B956" s="4"/>
      <c r="C956" s="4"/>
      <c r="D956" s="4"/>
      <c r="E956" s="11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75" customHeight="1">
      <c r="A957" s="10"/>
      <c r="B957" s="4"/>
      <c r="C957" s="4"/>
      <c r="D957" s="4"/>
      <c r="E957" s="11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75" customHeight="1">
      <c r="A958" s="10"/>
      <c r="B958" s="4"/>
      <c r="C958" s="4"/>
      <c r="D958" s="4"/>
      <c r="E958" s="11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75" customHeight="1">
      <c r="A959" s="10"/>
      <c r="B959" s="4"/>
      <c r="C959" s="4"/>
      <c r="D959" s="4"/>
      <c r="E959" s="11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75" customHeight="1">
      <c r="A960" s="10"/>
      <c r="B960" s="4"/>
      <c r="C960" s="4"/>
      <c r="D960" s="4"/>
      <c r="E960" s="11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75" customHeight="1">
      <c r="A961" s="10"/>
      <c r="B961" s="4"/>
      <c r="C961" s="4"/>
      <c r="D961" s="4"/>
      <c r="E961" s="11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75" customHeight="1">
      <c r="A962" s="10"/>
      <c r="B962" s="4"/>
      <c r="C962" s="4"/>
      <c r="D962" s="4"/>
      <c r="E962" s="11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75" customHeight="1">
      <c r="A963" s="10"/>
      <c r="B963" s="4"/>
      <c r="C963" s="4"/>
      <c r="D963" s="4"/>
      <c r="E963" s="11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75" customHeight="1">
      <c r="A964" s="10"/>
      <c r="B964" s="4"/>
      <c r="C964" s="4"/>
      <c r="D964" s="4"/>
      <c r="E964" s="11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75" customHeight="1">
      <c r="A965" s="10"/>
      <c r="B965" s="4"/>
      <c r="C965" s="4"/>
      <c r="D965" s="4"/>
      <c r="E965" s="11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75" customHeight="1">
      <c r="A966" s="10"/>
      <c r="B966" s="4"/>
      <c r="C966" s="4"/>
      <c r="D966" s="4"/>
      <c r="E966" s="11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75" customHeight="1">
      <c r="A967" s="10"/>
      <c r="B967" s="4"/>
      <c r="C967" s="4"/>
      <c r="D967" s="4"/>
      <c r="E967" s="11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75" customHeight="1">
      <c r="A968" s="10"/>
      <c r="B968" s="4"/>
      <c r="C968" s="4"/>
      <c r="D968" s="4"/>
      <c r="E968" s="11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75" customHeight="1">
      <c r="A969" s="10"/>
      <c r="B969" s="4"/>
      <c r="C969" s="4"/>
      <c r="D969" s="4"/>
      <c r="E969" s="11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75" customHeight="1">
      <c r="A970" s="10"/>
      <c r="B970" s="4"/>
      <c r="C970" s="4"/>
      <c r="D970" s="4"/>
      <c r="E970" s="11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75" customHeight="1">
      <c r="A971" s="10"/>
      <c r="B971" s="4"/>
      <c r="C971" s="4"/>
      <c r="D971" s="4"/>
      <c r="E971" s="11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75" customHeight="1">
      <c r="A972" s="10"/>
      <c r="B972" s="4"/>
      <c r="C972" s="4"/>
      <c r="D972" s="4"/>
      <c r="E972" s="11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75" customHeight="1">
      <c r="A973" s="10"/>
      <c r="B973" s="4"/>
      <c r="C973" s="4"/>
      <c r="D973" s="4"/>
      <c r="E973" s="11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75" customHeight="1">
      <c r="A974" s="10"/>
      <c r="B974" s="4"/>
      <c r="C974" s="4"/>
      <c r="D974" s="4"/>
      <c r="E974" s="11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75" customHeight="1">
      <c r="A975" s="10"/>
      <c r="B975" s="4"/>
      <c r="C975" s="4"/>
      <c r="D975" s="4"/>
      <c r="E975" s="11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75" customHeight="1">
      <c r="A976" s="10"/>
      <c r="B976" s="4"/>
      <c r="C976" s="4"/>
      <c r="D976" s="4"/>
      <c r="E976" s="11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75" customHeight="1">
      <c r="A977" s="10"/>
      <c r="B977" s="4"/>
      <c r="C977" s="4"/>
      <c r="D977" s="4"/>
      <c r="E977" s="11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75" customHeight="1">
      <c r="A978" s="10"/>
      <c r="B978" s="4"/>
      <c r="C978" s="4"/>
      <c r="D978" s="4"/>
      <c r="E978" s="11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75" customHeight="1">
      <c r="A979" s="10"/>
      <c r="B979" s="4"/>
      <c r="C979" s="4"/>
      <c r="D979" s="4"/>
      <c r="E979" s="11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75" customHeight="1">
      <c r="A980" s="10"/>
      <c r="B980" s="4"/>
      <c r="C980" s="4"/>
      <c r="D980" s="4"/>
      <c r="E980" s="11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75" customHeight="1">
      <c r="A981" s="10"/>
      <c r="B981" s="4"/>
      <c r="C981" s="4"/>
      <c r="D981" s="4"/>
      <c r="E981" s="11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75" customHeight="1">
      <c r="A982" s="10"/>
      <c r="B982" s="4"/>
      <c r="C982" s="4"/>
      <c r="D982" s="4"/>
      <c r="E982" s="11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75" customHeight="1">
      <c r="A983" s="10"/>
      <c r="B983" s="4"/>
      <c r="C983" s="4"/>
      <c r="D983" s="4"/>
      <c r="E983" s="11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75" customHeight="1">
      <c r="A984" s="10"/>
      <c r="B984" s="4"/>
      <c r="C984" s="4"/>
      <c r="D984" s="4"/>
      <c r="E984" s="11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75" customHeight="1">
      <c r="A985" s="10"/>
      <c r="B985" s="4"/>
      <c r="C985" s="4"/>
      <c r="D985" s="4"/>
      <c r="E985" s="11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75" customHeight="1">
      <c r="A986" s="10"/>
      <c r="B986" s="4"/>
      <c r="C986" s="4"/>
      <c r="D986" s="4"/>
      <c r="E986" s="11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75" customHeight="1">
      <c r="A987" s="10"/>
      <c r="B987" s="4"/>
      <c r="C987" s="4"/>
      <c r="D987" s="4"/>
      <c r="E987" s="11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75" customHeight="1">
      <c r="A988" s="10"/>
      <c r="B988" s="4"/>
      <c r="C988" s="4"/>
      <c r="D988" s="4"/>
      <c r="E988" s="11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75" customHeight="1">
      <c r="A989" s="10"/>
      <c r="B989" s="4"/>
      <c r="C989" s="4"/>
      <c r="D989" s="4"/>
      <c r="E989" s="11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75" customHeight="1">
      <c r="A990" s="10"/>
      <c r="B990" s="4"/>
      <c r="C990" s="4"/>
      <c r="D990" s="4"/>
      <c r="E990" s="11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75" customHeight="1">
      <c r="A991" s="10"/>
      <c r="B991" s="4"/>
      <c r="C991" s="4"/>
      <c r="D991" s="4"/>
      <c r="E991" s="11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75" customHeight="1">
      <c r="A992" s="10"/>
      <c r="B992" s="4"/>
      <c r="C992" s="4"/>
      <c r="D992" s="4"/>
      <c r="E992" s="11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75" customHeight="1">
      <c r="A993" s="10"/>
      <c r="B993" s="4"/>
      <c r="C993" s="4"/>
      <c r="D993" s="4"/>
      <c r="E993" s="11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75" customHeight="1">
      <c r="A994" s="10"/>
      <c r="B994" s="4"/>
      <c r="C994" s="4"/>
      <c r="D994" s="4"/>
      <c r="E994" s="11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75" customHeight="1">
      <c r="A995" s="10"/>
      <c r="B995" s="4"/>
      <c r="C995" s="4"/>
      <c r="D995" s="4"/>
      <c r="E995" s="11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75" customHeight="1">
      <c r="A996" s="10"/>
      <c r="B996" s="4"/>
      <c r="C996" s="4"/>
      <c r="D996" s="4"/>
      <c r="E996" s="11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75" customHeight="1">
      <c r="A997" s="10"/>
      <c r="B997" s="4"/>
      <c r="C997" s="4"/>
      <c r="D997" s="4"/>
      <c r="E997" s="11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75" customHeight="1">
      <c r="A998" s="10"/>
      <c r="B998" s="4"/>
      <c r="C998" s="4"/>
      <c r="D998" s="4"/>
      <c r="E998" s="11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75" customHeight="1">
      <c r="A999" s="10"/>
      <c r="B999" s="4"/>
      <c r="C999" s="4"/>
      <c r="D999" s="4"/>
      <c r="E999" s="11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75" customHeight="1">
      <c r="A1000" s="10"/>
      <c r="B1000" s="4"/>
      <c r="C1000" s="4"/>
      <c r="D1000" s="4"/>
      <c r="E1000" s="11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29"/>
    <col customWidth="1" min="2" max="2" width="17.86"/>
    <col customWidth="1" min="3" max="3" width="31.0"/>
    <col customWidth="1" min="4" max="4" width="25.43"/>
    <col customWidth="1" min="5" max="5" width="17.86"/>
    <col customWidth="1" min="6" max="26" width="8.71"/>
  </cols>
  <sheetData>
    <row r="1">
      <c r="A1" s="12" t="s">
        <v>0</v>
      </c>
      <c r="B1" s="2"/>
      <c r="C1" s="2"/>
      <c r="D1" s="2"/>
      <c r="E1" s="3"/>
    </row>
    <row r="2" ht="35.25" customHeight="1">
      <c r="A2" s="13" t="s">
        <v>10</v>
      </c>
      <c r="B2" s="14" t="s">
        <v>11</v>
      </c>
      <c r="C2" s="15" t="s">
        <v>12</v>
      </c>
      <c r="D2" s="15" t="s">
        <v>13</v>
      </c>
      <c r="E2" s="14" t="s">
        <v>14</v>
      </c>
    </row>
    <row r="3" hidden="1">
      <c r="A3" s="16"/>
      <c r="B3" s="17" t="s">
        <v>15</v>
      </c>
      <c r="C3" s="18">
        <v>87.0</v>
      </c>
      <c r="D3" s="18">
        <v>82.0</v>
      </c>
      <c r="E3" s="19">
        <f t="shared" ref="E3:E10" si="1">D3/C3</f>
        <v>0.9425287356</v>
      </c>
    </row>
    <row r="4" hidden="1">
      <c r="A4" s="16"/>
      <c r="B4" s="17" t="s">
        <v>16</v>
      </c>
      <c r="C4" s="18">
        <v>67.0</v>
      </c>
      <c r="D4" s="18">
        <v>63.0</v>
      </c>
      <c r="E4" s="19">
        <f t="shared" si="1"/>
        <v>0.9402985075</v>
      </c>
    </row>
    <row r="5" hidden="1">
      <c r="A5" s="16"/>
      <c r="B5" s="17" t="s">
        <v>17</v>
      </c>
      <c r="C5" s="18">
        <v>58.0</v>
      </c>
      <c r="D5" s="18">
        <v>57.0</v>
      </c>
      <c r="E5" s="19">
        <f t="shared" si="1"/>
        <v>0.9827586207</v>
      </c>
    </row>
    <row r="6" hidden="1">
      <c r="A6" s="16"/>
      <c r="B6" s="17" t="s">
        <v>18</v>
      </c>
      <c r="C6" s="18">
        <v>100.0</v>
      </c>
      <c r="D6" s="18">
        <v>94.0</v>
      </c>
      <c r="E6" s="19">
        <f t="shared" si="1"/>
        <v>0.94</v>
      </c>
    </row>
    <row r="7" hidden="1">
      <c r="A7" s="16"/>
      <c r="B7" s="17" t="s">
        <v>19</v>
      </c>
      <c r="C7" s="18">
        <v>126.0</v>
      </c>
      <c r="D7" s="18">
        <v>123.0</v>
      </c>
      <c r="E7" s="19">
        <f t="shared" si="1"/>
        <v>0.9761904762</v>
      </c>
    </row>
    <row r="8" hidden="1">
      <c r="A8" s="16"/>
      <c r="B8" s="17" t="s">
        <v>20</v>
      </c>
      <c r="C8" s="18">
        <v>135.0</v>
      </c>
      <c r="D8" s="18">
        <v>131.0</v>
      </c>
      <c r="E8" s="19">
        <f t="shared" si="1"/>
        <v>0.9703703704</v>
      </c>
    </row>
    <row r="9" hidden="1">
      <c r="A9" s="16"/>
      <c r="B9" s="17" t="s">
        <v>21</v>
      </c>
      <c r="C9" s="18">
        <v>114.0</v>
      </c>
      <c r="D9" s="18">
        <v>110.0</v>
      </c>
      <c r="E9" s="19">
        <f t="shared" si="1"/>
        <v>0.9649122807</v>
      </c>
    </row>
    <row r="10" hidden="1">
      <c r="A10" s="16"/>
      <c r="B10" s="17" t="s">
        <v>22</v>
      </c>
      <c r="C10" s="18">
        <v>85.0</v>
      </c>
      <c r="D10" s="18">
        <v>81.0</v>
      </c>
      <c r="E10" s="19">
        <f t="shared" si="1"/>
        <v>0.9529411765</v>
      </c>
    </row>
    <row r="11" hidden="1">
      <c r="A11" s="16"/>
      <c r="B11" s="17" t="s">
        <v>23</v>
      </c>
      <c r="C11" s="18"/>
      <c r="D11" s="18"/>
      <c r="E11" s="19"/>
    </row>
    <row r="12" hidden="1">
      <c r="A12" s="16"/>
      <c r="B12" s="17" t="s">
        <v>24</v>
      </c>
      <c r="C12" s="18">
        <v>75.0</v>
      </c>
      <c r="D12" s="18">
        <v>66.0</v>
      </c>
      <c r="E12" s="19">
        <f t="shared" ref="E12:E54" si="2">D12/C12</f>
        <v>0.88</v>
      </c>
    </row>
    <row r="13" hidden="1">
      <c r="A13" s="16"/>
      <c r="B13" s="17" t="s">
        <v>25</v>
      </c>
      <c r="C13" s="18">
        <v>74.0</v>
      </c>
      <c r="D13" s="18">
        <v>68.0</v>
      </c>
      <c r="E13" s="19">
        <f t="shared" si="2"/>
        <v>0.9189189189</v>
      </c>
    </row>
    <row r="14" hidden="1">
      <c r="A14" s="16"/>
      <c r="B14" s="17" t="s">
        <v>26</v>
      </c>
      <c r="C14" s="18">
        <v>80.0</v>
      </c>
      <c r="D14" s="18">
        <v>72.0</v>
      </c>
      <c r="E14" s="19">
        <f t="shared" si="2"/>
        <v>0.9</v>
      </c>
    </row>
    <row r="15" hidden="1">
      <c r="A15" s="16"/>
      <c r="B15" s="17" t="s">
        <v>27</v>
      </c>
      <c r="C15" s="18">
        <v>78.0</v>
      </c>
      <c r="D15" s="18">
        <v>70.0</v>
      </c>
      <c r="E15" s="19">
        <f t="shared" si="2"/>
        <v>0.8974358974</v>
      </c>
    </row>
    <row r="16" hidden="1">
      <c r="A16" s="16"/>
      <c r="B16" s="17" t="s">
        <v>28</v>
      </c>
      <c r="C16" s="18">
        <v>86.0</v>
      </c>
      <c r="D16" s="18">
        <v>77.0</v>
      </c>
      <c r="E16" s="19">
        <f t="shared" si="2"/>
        <v>0.8953488372</v>
      </c>
    </row>
    <row r="17" hidden="1">
      <c r="A17" s="16"/>
      <c r="B17" s="17" t="s">
        <v>29</v>
      </c>
      <c r="C17" s="18">
        <v>93.0</v>
      </c>
      <c r="D17" s="18">
        <v>85.0</v>
      </c>
      <c r="E17" s="19">
        <f t="shared" si="2"/>
        <v>0.9139784946</v>
      </c>
    </row>
    <row r="18" hidden="1">
      <c r="A18" s="16"/>
      <c r="B18" s="17" t="s">
        <v>30</v>
      </c>
      <c r="C18" s="18">
        <v>112.0</v>
      </c>
      <c r="D18" s="18">
        <v>99.0</v>
      </c>
      <c r="E18" s="19">
        <f t="shared" si="2"/>
        <v>0.8839285714</v>
      </c>
    </row>
    <row r="19" hidden="1">
      <c r="A19" s="16"/>
      <c r="B19" s="17" t="s">
        <v>31</v>
      </c>
      <c r="C19" s="18">
        <v>110.0</v>
      </c>
      <c r="D19" s="18">
        <v>100.0</v>
      </c>
      <c r="E19" s="19">
        <f t="shared" si="2"/>
        <v>0.9090909091</v>
      </c>
    </row>
    <row r="20" hidden="1">
      <c r="A20" s="16"/>
      <c r="B20" s="17" t="s">
        <v>32</v>
      </c>
      <c r="C20" s="18">
        <v>112.0</v>
      </c>
      <c r="D20" s="18">
        <v>101.0</v>
      </c>
      <c r="E20" s="19">
        <f t="shared" si="2"/>
        <v>0.9017857143</v>
      </c>
    </row>
    <row r="21" ht="15.75" hidden="1" customHeight="1">
      <c r="A21" s="16"/>
      <c r="B21" s="17" t="s">
        <v>33</v>
      </c>
      <c r="C21" s="18">
        <v>110.0</v>
      </c>
      <c r="D21" s="18">
        <v>98.0</v>
      </c>
      <c r="E21" s="19">
        <f t="shared" si="2"/>
        <v>0.8909090909</v>
      </c>
    </row>
    <row r="22" ht="15.75" hidden="1" customHeight="1">
      <c r="A22" s="16"/>
      <c r="B22" s="17" t="s">
        <v>34</v>
      </c>
      <c r="C22" s="18">
        <v>109.0</v>
      </c>
      <c r="D22" s="18">
        <v>100.0</v>
      </c>
      <c r="E22" s="19">
        <f t="shared" si="2"/>
        <v>0.9174311927</v>
      </c>
    </row>
    <row r="23" ht="15.75" hidden="1" customHeight="1">
      <c r="A23" s="16"/>
      <c r="B23" s="17" t="s">
        <v>35</v>
      </c>
      <c r="C23" s="18">
        <v>113.0</v>
      </c>
      <c r="D23" s="18">
        <v>102.0</v>
      </c>
      <c r="E23" s="19">
        <f t="shared" si="2"/>
        <v>0.9026548673</v>
      </c>
    </row>
    <row r="24" ht="15.75" hidden="1" customHeight="1">
      <c r="A24" s="16"/>
      <c r="B24" s="17" t="s">
        <v>36</v>
      </c>
      <c r="C24" s="18">
        <v>115.0</v>
      </c>
      <c r="D24" s="18">
        <v>107.0</v>
      </c>
      <c r="E24" s="19">
        <f t="shared" si="2"/>
        <v>0.9304347826</v>
      </c>
    </row>
    <row r="25" ht="15.75" hidden="1" customHeight="1">
      <c r="A25" s="16"/>
      <c r="B25" s="17" t="s">
        <v>37</v>
      </c>
      <c r="C25" s="18">
        <v>117.0</v>
      </c>
      <c r="D25" s="18">
        <v>112.0</v>
      </c>
      <c r="E25" s="19">
        <f t="shared" si="2"/>
        <v>0.9572649573</v>
      </c>
    </row>
    <row r="26" ht="15.75" hidden="1" customHeight="1">
      <c r="A26" s="16"/>
      <c r="B26" s="17" t="s">
        <v>38</v>
      </c>
      <c r="C26" s="18">
        <v>116.0</v>
      </c>
      <c r="D26" s="18">
        <v>110.0</v>
      </c>
      <c r="E26" s="19">
        <f t="shared" si="2"/>
        <v>0.9482758621</v>
      </c>
    </row>
    <row r="27" ht="15.75" hidden="1" customHeight="1">
      <c r="A27" s="16"/>
      <c r="B27" s="17" t="s">
        <v>39</v>
      </c>
      <c r="C27" s="18">
        <v>113.0</v>
      </c>
      <c r="D27" s="18">
        <v>108.0</v>
      </c>
      <c r="E27" s="19">
        <f t="shared" si="2"/>
        <v>0.9557522124</v>
      </c>
    </row>
    <row r="28" ht="15.75" hidden="1" customHeight="1">
      <c r="A28" s="16"/>
      <c r="B28" s="17" t="s">
        <v>40</v>
      </c>
      <c r="C28" s="18">
        <v>110.0</v>
      </c>
      <c r="D28" s="18">
        <v>106.0</v>
      </c>
      <c r="E28" s="19">
        <f t="shared" si="2"/>
        <v>0.9636363636</v>
      </c>
    </row>
    <row r="29" ht="15.75" hidden="1" customHeight="1">
      <c r="A29" s="16"/>
      <c r="B29" s="17" t="s">
        <v>41</v>
      </c>
      <c r="C29" s="18">
        <v>106.0</v>
      </c>
      <c r="D29" s="18">
        <v>103.0</v>
      </c>
      <c r="E29" s="19">
        <f t="shared" si="2"/>
        <v>0.9716981132</v>
      </c>
    </row>
    <row r="30" ht="15.75" hidden="1" customHeight="1">
      <c r="A30" s="16"/>
      <c r="B30" s="17" t="s">
        <v>42</v>
      </c>
      <c r="C30" s="18">
        <v>100.0</v>
      </c>
      <c r="D30" s="18">
        <v>94.0</v>
      </c>
      <c r="E30" s="19">
        <f t="shared" si="2"/>
        <v>0.94</v>
      </c>
    </row>
    <row r="31" ht="15.75" hidden="1" customHeight="1">
      <c r="A31" s="16"/>
      <c r="B31" s="17" t="s">
        <v>43</v>
      </c>
      <c r="C31" s="18">
        <v>105.0</v>
      </c>
      <c r="D31" s="18">
        <v>99.0</v>
      </c>
      <c r="E31" s="19">
        <f t="shared" si="2"/>
        <v>0.9428571429</v>
      </c>
    </row>
    <row r="32" ht="15.75" hidden="1" customHeight="1">
      <c r="A32" s="16"/>
      <c r="B32" s="17" t="s">
        <v>44</v>
      </c>
      <c r="C32" s="18">
        <v>109.0</v>
      </c>
      <c r="D32" s="18">
        <v>104.0</v>
      </c>
      <c r="E32" s="19">
        <f t="shared" si="2"/>
        <v>0.9541284404</v>
      </c>
    </row>
    <row r="33" ht="15.75" hidden="1" customHeight="1">
      <c r="A33" s="16"/>
      <c r="B33" s="17" t="s">
        <v>45</v>
      </c>
      <c r="C33" s="18">
        <v>112.0</v>
      </c>
      <c r="D33" s="18">
        <v>106.0</v>
      </c>
      <c r="E33" s="19">
        <f t="shared" si="2"/>
        <v>0.9464285714</v>
      </c>
    </row>
    <row r="34" ht="15.75" customHeight="1">
      <c r="A34" s="20">
        <v>46132.0</v>
      </c>
      <c r="B34" s="21" t="s">
        <v>6</v>
      </c>
      <c r="C34" s="22">
        <v>4.0</v>
      </c>
      <c r="D34" s="22">
        <v>4.0</v>
      </c>
      <c r="E34" s="23">
        <f t="shared" si="2"/>
        <v>1</v>
      </c>
    </row>
    <row r="35" ht="15.75" customHeight="1">
      <c r="A35" s="20">
        <v>46133.0</v>
      </c>
      <c r="B35" s="21"/>
      <c r="C35" s="22">
        <v>6.0</v>
      </c>
      <c r="D35" s="22">
        <v>5.0</v>
      </c>
      <c r="E35" s="23">
        <f t="shared" si="2"/>
        <v>0.8333333333</v>
      </c>
    </row>
    <row r="36" ht="15.75" customHeight="1">
      <c r="A36" s="20">
        <v>46134.0</v>
      </c>
      <c r="B36" s="21"/>
      <c r="C36" s="22">
        <v>6.0</v>
      </c>
      <c r="D36" s="22">
        <v>6.0</v>
      </c>
      <c r="E36" s="23">
        <f t="shared" si="2"/>
        <v>1</v>
      </c>
    </row>
    <row r="37" ht="15.75" customHeight="1">
      <c r="A37" s="20">
        <v>46135.0</v>
      </c>
      <c r="B37" s="21"/>
      <c r="C37" s="22">
        <v>6.0</v>
      </c>
      <c r="D37" s="22">
        <v>6.0</v>
      </c>
      <c r="E37" s="23">
        <f t="shared" si="2"/>
        <v>1</v>
      </c>
    </row>
    <row r="38" ht="15.75" customHeight="1">
      <c r="A38" s="20">
        <v>46136.0</v>
      </c>
      <c r="B38" s="21"/>
      <c r="C38" s="22">
        <v>17.0</v>
      </c>
      <c r="D38" s="22">
        <v>17.0</v>
      </c>
      <c r="E38" s="23">
        <f t="shared" si="2"/>
        <v>1</v>
      </c>
    </row>
    <row r="39" ht="15.75" customHeight="1">
      <c r="A39" s="20">
        <v>46137.0</v>
      </c>
      <c r="B39" s="21"/>
      <c r="C39" s="22">
        <v>17.0</v>
      </c>
      <c r="D39" s="22">
        <v>17.0</v>
      </c>
      <c r="E39" s="23">
        <f t="shared" si="2"/>
        <v>1</v>
      </c>
    </row>
    <row r="40" ht="15.75" customHeight="1">
      <c r="A40" s="20">
        <v>46138.0</v>
      </c>
      <c r="B40" s="21"/>
      <c r="C40" s="22">
        <v>13.0</v>
      </c>
      <c r="D40" s="22">
        <v>13.0</v>
      </c>
      <c r="E40" s="23">
        <f t="shared" si="2"/>
        <v>1</v>
      </c>
    </row>
    <row r="41" ht="15.75" customHeight="1">
      <c r="A41" s="20">
        <v>46139.0</v>
      </c>
      <c r="B41" s="21" t="s">
        <v>7</v>
      </c>
      <c r="C41" s="22">
        <v>28.0</v>
      </c>
      <c r="D41" s="22">
        <v>27.0</v>
      </c>
      <c r="E41" s="23">
        <f t="shared" si="2"/>
        <v>0.9642857143</v>
      </c>
    </row>
    <row r="42" ht="15.75" customHeight="1">
      <c r="A42" s="20">
        <v>46140.0</v>
      </c>
      <c r="B42" s="21"/>
      <c r="C42" s="22">
        <v>28.0</v>
      </c>
      <c r="D42" s="22">
        <v>27.0</v>
      </c>
      <c r="E42" s="23">
        <f t="shared" si="2"/>
        <v>0.9642857143</v>
      </c>
    </row>
    <row r="43" ht="15.75" customHeight="1">
      <c r="A43" s="20">
        <v>46141.0</v>
      </c>
      <c r="B43" s="21"/>
      <c r="C43" s="22">
        <v>25.0</v>
      </c>
      <c r="D43" s="22">
        <v>25.0</v>
      </c>
      <c r="E43" s="23">
        <f t="shared" si="2"/>
        <v>1</v>
      </c>
    </row>
    <row r="44" ht="15.75" customHeight="1">
      <c r="A44" s="20">
        <v>46142.0</v>
      </c>
      <c r="B44" s="21"/>
      <c r="C44" s="22">
        <v>41.0</v>
      </c>
      <c r="D44" s="22">
        <v>41.0</v>
      </c>
      <c r="E44" s="23">
        <f t="shared" si="2"/>
        <v>1</v>
      </c>
    </row>
    <row r="45" ht="15.75" customHeight="1">
      <c r="A45" s="20">
        <v>46143.0</v>
      </c>
      <c r="B45" s="21"/>
      <c r="C45" s="22">
        <v>41.0</v>
      </c>
      <c r="D45" s="22">
        <v>36.0</v>
      </c>
      <c r="E45" s="23">
        <f t="shared" si="2"/>
        <v>0.8780487805</v>
      </c>
    </row>
    <row r="46" ht="15.75" customHeight="1">
      <c r="A46" s="20">
        <v>46144.0</v>
      </c>
      <c r="B46" s="21"/>
      <c r="C46" s="22">
        <v>41.0</v>
      </c>
      <c r="D46" s="22">
        <v>41.0</v>
      </c>
      <c r="E46" s="23">
        <f t="shared" si="2"/>
        <v>1</v>
      </c>
    </row>
    <row r="47" ht="15.75" customHeight="1">
      <c r="A47" s="20">
        <v>46145.0</v>
      </c>
      <c r="B47" s="21"/>
      <c r="C47" s="22">
        <v>37.0</v>
      </c>
      <c r="D47" s="22">
        <v>35.0</v>
      </c>
      <c r="E47" s="23">
        <f t="shared" si="2"/>
        <v>0.9459459459</v>
      </c>
    </row>
    <row r="48" ht="15.75" customHeight="1">
      <c r="A48" s="20">
        <v>46146.0</v>
      </c>
      <c r="B48" s="21"/>
      <c r="C48" s="22">
        <v>56.0</v>
      </c>
      <c r="D48" s="22">
        <v>56.0</v>
      </c>
      <c r="E48" s="23">
        <f t="shared" si="2"/>
        <v>1</v>
      </c>
    </row>
    <row r="49" ht="15.75" customHeight="1">
      <c r="A49" s="20">
        <v>46147.0</v>
      </c>
      <c r="B49" s="21"/>
      <c r="C49" s="22">
        <v>60.0</v>
      </c>
      <c r="D49" s="22">
        <v>60.0</v>
      </c>
      <c r="E49" s="23">
        <f t="shared" si="2"/>
        <v>1</v>
      </c>
    </row>
    <row r="50" ht="15.75" customHeight="1">
      <c r="A50" s="20">
        <v>46148.0</v>
      </c>
      <c r="B50" s="21"/>
      <c r="C50" s="22">
        <v>63.0</v>
      </c>
      <c r="D50" s="22">
        <v>62.0</v>
      </c>
      <c r="E50" s="23">
        <f t="shared" si="2"/>
        <v>0.9841269841</v>
      </c>
    </row>
    <row r="51" ht="15.75" customHeight="1">
      <c r="A51" s="20">
        <v>46149.0</v>
      </c>
      <c r="B51" s="21"/>
      <c r="C51" s="22">
        <v>60.0</v>
      </c>
      <c r="D51" s="22">
        <v>60.0</v>
      </c>
      <c r="E51" s="23">
        <f t="shared" si="2"/>
        <v>1</v>
      </c>
    </row>
    <row r="52" ht="15.75" customHeight="1">
      <c r="A52" s="20">
        <v>46150.0</v>
      </c>
      <c r="B52" s="21"/>
      <c r="C52" s="22">
        <v>66.0</v>
      </c>
      <c r="D52" s="22">
        <v>66.0</v>
      </c>
      <c r="E52" s="23">
        <f t="shared" si="2"/>
        <v>1</v>
      </c>
    </row>
    <row r="53" ht="15.75" customHeight="1">
      <c r="A53" s="20">
        <v>46151.0</v>
      </c>
      <c r="B53" s="21"/>
      <c r="C53" s="22">
        <v>66.0</v>
      </c>
      <c r="D53" s="22">
        <v>66.0</v>
      </c>
      <c r="E53" s="23">
        <f t="shared" si="2"/>
        <v>1</v>
      </c>
    </row>
    <row r="54" ht="15.75" customHeight="1">
      <c r="A54" s="20">
        <v>46152.0</v>
      </c>
      <c r="B54" s="21"/>
      <c r="C54" s="22">
        <v>47.0</v>
      </c>
      <c r="D54" s="22">
        <v>43.0</v>
      </c>
      <c r="E54" s="23">
        <f t="shared" si="2"/>
        <v>0.914893617</v>
      </c>
    </row>
    <row r="55" ht="15.75" customHeight="1">
      <c r="A55" s="20">
        <v>46153.0</v>
      </c>
      <c r="B55" s="21"/>
      <c r="C55" s="22"/>
      <c r="D55" s="22"/>
      <c r="E55" s="23"/>
    </row>
    <row r="56" ht="15.75" customHeight="1">
      <c r="A56" s="20">
        <v>46154.0</v>
      </c>
      <c r="B56" s="21"/>
      <c r="C56" s="22"/>
      <c r="D56" s="22"/>
      <c r="E56" s="23"/>
    </row>
    <row r="57" ht="15.75" customHeight="1">
      <c r="A57" s="20">
        <v>46155.0</v>
      </c>
      <c r="B57" s="21"/>
      <c r="C57" s="22"/>
      <c r="D57" s="22"/>
      <c r="E57" s="23"/>
    </row>
    <row r="58" ht="15.75" customHeight="1">
      <c r="A58" s="20">
        <v>46156.0</v>
      </c>
      <c r="B58" s="21"/>
      <c r="C58" s="22"/>
      <c r="D58" s="22"/>
      <c r="E58" s="23"/>
      <c r="G58" s="24" t="s">
        <v>46</v>
      </c>
    </row>
    <row r="59" ht="15.75" customHeight="1">
      <c r="A59" s="20">
        <v>46157.0</v>
      </c>
      <c r="B59" s="21"/>
      <c r="C59" s="22"/>
      <c r="D59" s="22"/>
      <c r="E59" s="23"/>
    </row>
    <row r="60" ht="15.75" customHeight="1">
      <c r="A60" s="20">
        <v>46158.0</v>
      </c>
      <c r="B60" s="21"/>
      <c r="C60" s="22"/>
      <c r="D60" s="22"/>
      <c r="E60" s="23"/>
    </row>
    <row r="61" ht="15.75" customHeight="1">
      <c r="A61" s="20">
        <v>46159.0</v>
      </c>
      <c r="B61" s="21"/>
      <c r="C61" s="22"/>
      <c r="D61" s="22"/>
      <c r="E61" s="23"/>
    </row>
    <row r="62" ht="15.75" customHeight="1">
      <c r="A62" s="16"/>
      <c r="B62" s="21"/>
      <c r="C62" s="22"/>
      <c r="D62" s="22"/>
      <c r="E62" s="23"/>
    </row>
    <row r="63" ht="15.75" customHeight="1">
      <c r="A63" s="16"/>
      <c r="B63" s="21"/>
      <c r="C63" s="22"/>
      <c r="D63" s="22"/>
      <c r="E63" s="23"/>
    </row>
    <row r="64" ht="15.75" customHeight="1">
      <c r="A64" s="16"/>
      <c r="B64" s="21"/>
      <c r="C64" s="22"/>
      <c r="D64" s="22"/>
      <c r="E64" s="23"/>
    </row>
    <row r="65" ht="15.75" customHeight="1">
      <c r="A65" s="16"/>
      <c r="B65" s="21"/>
      <c r="C65" s="22"/>
      <c r="D65" s="22"/>
      <c r="E65" s="23"/>
    </row>
    <row r="66" ht="15.75" customHeight="1">
      <c r="A66" s="16"/>
      <c r="B66" s="21"/>
      <c r="C66" s="22"/>
      <c r="D66" s="22"/>
      <c r="E66" s="23"/>
    </row>
    <row r="67" ht="15.75" customHeight="1">
      <c r="A67" s="16"/>
      <c r="B67" s="21"/>
      <c r="C67" s="22"/>
      <c r="D67" s="22"/>
      <c r="E67" s="23"/>
    </row>
    <row r="68" ht="15.75" customHeight="1">
      <c r="A68" s="16"/>
      <c r="B68" s="21"/>
      <c r="C68" s="22"/>
      <c r="D68" s="22"/>
      <c r="E68" s="23"/>
    </row>
    <row r="69" ht="15.75" customHeight="1">
      <c r="A69" s="16"/>
      <c r="B69" s="21"/>
      <c r="C69" s="22"/>
      <c r="D69" s="22"/>
      <c r="E69" s="23"/>
    </row>
    <row r="70" ht="15.75" customHeight="1">
      <c r="A70" s="16"/>
      <c r="B70" s="21"/>
      <c r="C70" s="22"/>
      <c r="D70" s="22"/>
      <c r="E70" s="23"/>
    </row>
    <row r="71" ht="15.75" customHeight="1">
      <c r="A71" s="16"/>
      <c r="B71" s="16"/>
      <c r="C71" s="25"/>
      <c r="D71" s="25"/>
      <c r="E71" s="16"/>
    </row>
    <row r="72" ht="15.75" customHeight="1">
      <c r="A72" s="16"/>
      <c r="B72" s="16"/>
      <c r="C72" s="25"/>
      <c r="D72" s="25"/>
      <c r="E72" s="16"/>
    </row>
    <row r="73" ht="15.75" customHeight="1">
      <c r="A73" s="16"/>
      <c r="B73" s="16"/>
      <c r="C73" s="25"/>
      <c r="D73" s="25"/>
      <c r="E73" s="16"/>
    </row>
    <row r="74" ht="15.75" customHeight="1">
      <c r="A74" s="16"/>
      <c r="B74" s="16"/>
      <c r="C74" s="25"/>
      <c r="D74" s="25"/>
      <c r="E74" s="16"/>
    </row>
    <row r="75" ht="15.75" customHeight="1">
      <c r="A75" s="16"/>
      <c r="B75" s="16"/>
      <c r="C75" s="25"/>
      <c r="D75" s="25"/>
      <c r="E75" s="16"/>
    </row>
    <row r="76" ht="15.75" customHeight="1">
      <c r="A76" s="16"/>
      <c r="B76" s="16"/>
      <c r="C76" s="25"/>
      <c r="D76" s="25"/>
      <c r="E76" s="16"/>
    </row>
    <row r="77" ht="15.75" customHeight="1">
      <c r="A77" s="26"/>
      <c r="B77" s="26"/>
      <c r="E77" s="26"/>
    </row>
    <row r="78" ht="15.75" customHeight="1">
      <c r="A78" s="26"/>
      <c r="B78" s="26"/>
      <c r="E78" s="26"/>
    </row>
    <row r="79" ht="15.75" customHeight="1">
      <c r="A79" s="26"/>
      <c r="B79" s="26"/>
      <c r="E79" s="26"/>
    </row>
    <row r="80" ht="15.75" customHeight="1">
      <c r="A80" s="26"/>
      <c r="B80" s="26"/>
      <c r="E80" s="26"/>
    </row>
    <row r="81" ht="15.75" customHeight="1">
      <c r="A81" s="26"/>
      <c r="B81" s="26"/>
      <c r="E81" s="26"/>
    </row>
    <row r="82" ht="15.75" customHeight="1">
      <c r="A82" s="26"/>
      <c r="B82" s="26"/>
      <c r="E82" s="26"/>
    </row>
    <row r="83" ht="15.75" customHeight="1">
      <c r="A83" s="26"/>
      <c r="B83" s="26"/>
      <c r="E83" s="26"/>
    </row>
    <row r="84" ht="15.75" customHeight="1">
      <c r="A84" s="26"/>
      <c r="B84" s="26"/>
      <c r="E84" s="26"/>
    </row>
    <row r="85" ht="15.75" customHeight="1">
      <c r="A85" s="26"/>
      <c r="B85" s="26"/>
      <c r="E85" s="26"/>
    </row>
    <row r="86" ht="15.75" customHeight="1">
      <c r="A86" s="26"/>
      <c r="B86" s="26"/>
      <c r="E86" s="26"/>
    </row>
    <row r="87" ht="15.75" customHeight="1">
      <c r="A87" s="26"/>
      <c r="B87" s="26"/>
      <c r="E87" s="26"/>
    </row>
    <row r="88" ht="15.75" customHeight="1">
      <c r="A88" s="26"/>
      <c r="B88" s="26"/>
      <c r="E88" s="26"/>
    </row>
    <row r="89" ht="15.75" customHeight="1">
      <c r="A89" s="26"/>
      <c r="B89" s="26"/>
      <c r="E89" s="26"/>
    </row>
    <row r="90" ht="15.75" customHeight="1">
      <c r="A90" s="26"/>
      <c r="B90" s="26"/>
      <c r="E90" s="26"/>
    </row>
    <row r="91" ht="15.75" customHeight="1">
      <c r="A91" s="26"/>
      <c r="B91" s="26"/>
      <c r="E91" s="26"/>
    </row>
    <row r="92" ht="15.75" customHeight="1">
      <c r="A92" s="26"/>
      <c r="B92" s="26"/>
      <c r="E92" s="26"/>
    </row>
    <row r="93" ht="15.75" customHeight="1">
      <c r="A93" s="26"/>
      <c r="B93" s="26"/>
      <c r="E93" s="26"/>
    </row>
    <row r="94" ht="15.75" customHeight="1">
      <c r="A94" s="26"/>
      <c r="B94" s="26"/>
      <c r="E94" s="26"/>
    </row>
    <row r="95" ht="15.75" customHeight="1">
      <c r="A95" s="26"/>
      <c r="B95" s="26"/>
      <c r="E95" s="26"/>
    </row>
    <row r="96" ht="15.75" customHeight="1">
      <c r="A96" s="26"/>
      <c r="B96" s="26"/>
      <c r="E96" s="26"/>
    </row>
    <row r="97" ht="15.75" customHeight="1">
      <c r="A97" s="26"/>
      <c r="B97" s="26"/>
      <c r="E97" s="26"/>
    </row>
    <row r="98" ht="15.75" customHeight="1">
      <c r="A98" s="26"/>
      <c r="B98" s="26"/>
      <c r="E98" s="26"/>
    </row>
    <row r="99" ht="15.75" customHeight="1">
      <c r="A99" s="26"/>
      <c r="B99" s="26"/>
      <c r="E99" s="26"/>
    </row>
    <row r="100" ht="15.75" customHeight="1">
      <c r="A100" s="26"/>
      <c r="B100" s="26"/>
      <c r="E100" s="26"/>
    </row>
    <row r="101" ht="15.75" customHeight="1">
      <c r="A101" s="26"/>
      <c r="B101" s="26"/>
      <c r="E101" s="26"/>
    </row>
    <row r="102" ht="15.75" customHeight="1">
      <c r="A102" s="26"/>
      <c r="B102" s="26"/>
      <c r="E102" s="26"/>
    </row>
    <row r="103" ht="15.75" customHeight="1">
      <c r="A103" s="26"/>
      <c r="B103" s="26"/>
      <c r="E103" s="26"/>
    </row>
    <row r="104" ht="15.75" customHeight="1">
      <c r="A104" s="26"/>
      <c r="B104" s="26"/>
      <c r="E104" s="26"/>
    </row>
    <row r="105" ht="15.75" customHeight="1">
      <c r="A105" s="26"/>
      <c r="B105" s="26"/>
      <c r="E105" s="26"/>
    </row>
    <row r="106" ht="15.75" customHeight="1">
      <c r="A106" s="26"/>
      <c r="B106" s="26"/>
      <c r="E106" s="26"/>
    </row>
    <row r="107" ht="15.75" customHeight="1">
      <c r="A107" s="26"/>
      <c r="B107" s="26"/>
      <c r="E107" s="26"/>
    </row>
    <row r="108" ht="15.75" customHeight="1">
      <c r="A108" s="26"/>
      <c r="B108" s="26"/>
      <c r="E108" s="26"/>
    </row>
    <row r="109" ht="15.75" customHeight="1">
      <c r="A109" s="26"/>
      <c r="B109" s="26"/>
      <c r="E109" s="26"/>
    </row>
    <row r="110" ht="15.75" customHeight="1">
      <c r="A110" s="26"/>
      <c r="B110" s="26"/>
      <c r="E110" s="26"/>
    </row>
    <row r="111" ht="15.75" customHeight="1">
      <c r="A111" s="26"/>
      <c r="B111" s="26"/>
      <c r="E111" s="26"/>
    </row>
    <row r="112" ht="15.75" customHeight="1">
      <c r="A112" s="26"/>
      <c r="B112" s="26"/>
      <c r="E112" s="26"/>
    </row>
    <row r="113" ht="15.75" customHeight="1">
      <c r="A113" s="26"/>
      <c r="B113" s="26"/>
      <c r="E113" s="26"/>
    </row>
    <row r="114" ht="15.75" customHeight="1">
      <c r="A114" s="26"/>
      <c r="B114" s="26"/>
      <c r="E114" s="26"/>
    </row>
    <row r="115" ht="15.75" customHeight="1">
      <c r="A115" s="26"/>
      <c r="B115" s="26"/>
      <c r="E115" s="26"/>
    </row>
    <row r="116" ht="15.75" customHeight="1">
      <c r="A116" s="26"/>
      <c r="B116" s="26"/>
      <c r="E116" s="26"/>
    </row>
    <row r="117" ht="15.75" customHeight="1">
      <c r="A117" s="26"/>
      <c r="B117" s="26"/>
      <c r="E117" s="26"/>
    </row>
    <row r="118" ht="15.75" customHeight="1">
      <c r="A118" s="26"/>
      <c r="B118" s="26"/>
      <c r="E118" s="26"/>
    </row>
    <row r="119" ht="15.75" customHeight="1">
      <c r="A119" s="26"/>
      <c r="B119" s="26"/>
      <c r="E119" s="26"/>
    </row>
    <row r="120" ht="15.75" customHeight="1">
      <c r="A120" s="26"/>
      <c r="B120" s="26"/>
      <c r="E120" s="26"/>
    </row>
    <row r="121" ht="15.75" customHeight="1">
      <c r="A121" s="26"/>
      <c r="B121" s="26"/>
      <c r="E121" s="26"/>
    </row>
    <row r="122" ht="15.75" customHeight="1">
      <c r="A122" s="26"/>
      <c r="B122" s="26"/>
      <c r="E122" s="26"/>
    </row>
    <row r="123" ht="15.75" customHeight="1">
      <c r="A123" s="26"/>
      <c r="B123" s="26"/>
      <c r="E123" s="26"/>
    </row>
    <row r="124" ht="15.75" customHeight="1">
      <c r="A124" s="26"/>
      <c r="B124" s="26"/>
      <c r="E124" s="26"/>
    </row>
    <row r="125" ht="15.75" customHeight="1">
      <c r="A125" s="26"/>
      <c r="B125" s="26"/>
      <c r="E125" s="26"/>
    </row>
    <row r="126" ht="15.75" customHeight="1">
      <c r="A126" s="26"/>
      <c r="B126" s="26"/>
      <c r="E126" s="26"/>
    </row>
    <row r="127" ht="15.75" customHeight="1">
      <c r="A127" s="26"/>
      <c r="B127" s="26"/>
      <c r="E127" s="26"/>
    </row>
    <row r="128" ht="15.75" customHeight="1">
      <c r="A128" s="26"/>
      <c r="B128" s="26"/>
      <c r="E128" s="26"/>
    </row>
    <row r="129" ht="15.75" customHeight="1">
      <c r="A129" s="26"/>
      <c r="B129" s="26"/>
      <c r="E129" s="26"/>
    </row>
    <row r="130" ht="15.75" customHeight="1">
      <c r="A130" s="26"/>
      <c r="B130" s="26"/>
      <c r="E130" s="26"/>
    </row>
    <row r="131" ht="15.75" customHeight="1">
      <c r="A131" s="26"/>
      <c r="B131" s="26"/>
      <c r="E131" s="26"/>
    </row>
    <row r="132" ht="15.75" customHeight="1">
      <c r="A132" s="26"/>
      <c r="B132" s="26"/>
      <c r="E132" s="26"/>
    </row>
    <row r="133" ht="15.75" customHeight="1">
      <c r="A133" s="26"/>
      <c r="B133" s="26"/>
      <c r="E133" s="26"/>
    </row>
    <row r="134" ht="15.75" customHeight="1">
      <c r="A134" s="26"/>
      <c r="B134" s="26"/>
      <c r="E134" s="26"/>
    </row>
    <row r="135" ht="15.75" customHeight="1">
      <c r="A135" s="26"/>
      <c r="B135" s="26"/>
      <c r="E135" s="26"/>
    </row>
    <row r="136" ht="15.75" customHeight="1">
      <c r="A136" s="26"/>
      <c r="B136" s="26"/>
      <c r="E136" s="26"/>
    </row>
    <row r="137" ht="15.75" customHeight="1">
      <c r="A137" s="26"/>
      <c r="B137" s="26"/>
      <c r="E137" s="26"/>
    </row>
    <row r="138" ht="15.75" customHeight="1">
      <c r="A138" s="26"/>
      <c r="B138" s="26"/>
      <c r="E138" s="26"/>
    </row>
    <row r="139" ht="15.75" customHeight="1">
      <c r="A139" s="26"/>
      <c r="B139" s="26"/>
      <c r="E139" s="26"/>
    </row>
    <row r="140" ht="15.75" customHeight="1">
      <c r="A140" s="26"/>
      <c r="B140" s="26"/>
      <c r="E140" s="26"/>
    </row>
    <row r="141" ht="15.75" customHeight="1">
      <c r="A141" s="26"/>
      <c r="B141" s="26"/>
      <c r="E141" s="26"/>
    </row>
    <row r="142" ht="15.75" customHeight="1">
      <c r="A142" s="26"/>
      <c r="B142" s="26"/>
      <c r="E142" s="26"/>
    </row>
    <row r="143" ht="15.75" customHeight="1">
      <c r="A143" s="26"/>
      <c r="B143" s="26"/>
      <c r="E143" s="26"/>
    </row>
    <row r="144" ht="15.75" customHeight="1">
      <c r="A144" s="26"/>
      <c r="B144" s="26"/>
      <c r="E144" s="26"/>
    </row>
    <row r="145" ht="15.75" customHeight="1">
      <c r="A145" s="26"/>
      <c r="B145" s="26"/>
      <c r="E145" s="26"/>
    </row>
    <row r="146" ht="15.75" customHeight="1">
      <c r="A146" s="26"/>
      <c r="B146" s="26"/>
      <c r="E146" s="26"/>
    </row>
    <row r="147" ht="15.75" customHeight="1">
      <c r="A147" s="26"/>
      <c r="B147" s="26"/>
      <c r="E147" s="26"/>
    </row>
    <row r="148" ht="15.75" customHeight="1">
      <c r="A148" s="26"/>
      <c r="B148" s="26"/>
      <c r="E148" s="26"/>
    </row>
    <row r="149" ht="15.75" customHeight="1">
      <c r="A149" s="26"/>
      <c r="B149" s="26"/>
      <c r="E149" s="26"/>
    </row>
    <row r="150" ht="15.75" customHeight="1">
      <c r="A150" s="26"/>
      <c r="B150" s="26"/>
      <c r="E150" s="26"/>
    </row>
    <row r="151" ht="15.75" customHeight="1">
      <c r="A151" s="26"/>
      <c r="B151" s="26"/>
      <c r="E151" s="26"/>
    </row>
    <row r="152" ht="15.75" customHeight="1">
      <c r="A152" s="26"/>
      <c r="B152" s="26"/>
      <c r="E152" s="26"/>
    </row>
    <row r="153" ht="15.75" customHeight="1">
      <c r="A153" s="26"/>
      <c r="B153" s="26"/>
      <c r="E153" s="26"/>
    </row>
    <row r="154" ht="15.75" customHeight="1">
      <c r="A154" s="26"/>
      <c r="B154" s="26"/>
      <c r="E154" s="26"/>
    </row>
    <row r="155" ht="15.75" customHeight="1">
      <c r="A155" s="26"/>
      <c r="B155" s="26"/>
      <c r="E155" s="26"/>
    </row>
    <row r="156" ht="15.75" customHeight="1">
      <c r="A156" s="26"/>
      <c r="B156" s="26"/>
      <c r="E156" s="26"/>
    </row>
    <row r="157" ht="15.75" customHeight="1">
      <c r="A157" s="26"/>
      <c r="B157" s="26"/>
      <c r="E157" s="26"/>
    </row>
    <row r="158" ht="15.75" customHeight="1">
      <c r="A158" s="26"/>
      <c r="B158" s="26"/>
      <c r="E158" s="26"/>
    </row>
    <row r="159" ht="15.75" customHeight="1">
      <c r="A159" s="26"/>
      <c r="B159" s="26"/>
      <c r="E159" s="26"/>
    </row>
    <row r="160" ht="15.75" customHeight="1">
      <c r="A160" s="26"/>
      <c r="B160" s="26"/>
      <c r="E160" s="26"/>
    </row>
    <row r="161" ht="15.75" customHeight="1">
      <c r="A161" s="26"/>
      <c r="B161" s="26"/>
      <c r="E161" s="26"/>
    </row>
    <row r="162" ht="15.75" customHeight="1">
      <c r="A162" s="26"/>
      <c r="B162" s="26"/>
      <c r="E162" s="26"/>
    </row>
    <row r="163" ht="15.75" customHeight="1">
      <c r="A163" s="26"/>
      <c r="B163" s="26"/>
      <c r="E163" s="26"/>
    </row>
    <row r="164" ht="15.75" customHeight="1">
      <c r="A164" s="26"/>
      <c r="B164" s="26"/>
      <c r="E164" s="26"/>
    </row>
    <row r="165" ht="15.75" customHeight="1">
      <c r="A165" s="26"/>
      <c r="B165" s="26"/>
      <c r="E165" s="26"/>
    </row>
    <row r="166" ht="15.75" customHeight="1">
      <c r="A166" s="26"/>
      <c r="B166" s="26"/>
      <c r="E166" s="26"/>
    </row>
    <row r="167" ht="15.75" customHeight="1">
      <c r="A167" s="26"/>
      <c r="B167" s="26"/>
      <c r="E167" s="26"/>
    </row>
    <row r="168" ht="15.75" customHeight="1">
      <c r="A168" s="26"/>
      <c r="B168" s="26"/>
      <c r="E168" s="26"/>
    </row>
    <row r="169" ht="15.75" customHeight="1">
      <c r="A169" s="26"/>
      <c r="B169" s="26"/>
      <c r="E169" s="26"/>
    </row>
    <row r="170" ht="15.75" customHeight="1">
      <c r="A170" s="26"/>
      <c r="B170" s="26"/>
      <c r="E170" s="26"/>
    </row>
    <row r="171" ht="15.75" customHeight="1">
      <c r="A171" s="26"/>
      <c r="B171" s="26"/>
      <c r="E171" s="26"/>
    </row>
    <row r="172" ht="15.75" customHeight="1">
      <c r="A172" s="26"/>
      <c r="B172" s="26"/>
      <c r="E172" s="26"/>
    </row>
    <row r="173" ht="15.75" customHeight="1">
      <c r="A173" s="26"/>
      <c r="B173" s="26"/>
      <c r="E173" s="26"/>
    </row>
    <row r="174" ht="15.75" customHeight="1">
      <c r="A174" s="26"/>
      <c r="B174" s="26"/>
      <c r="E174" s="26"/>
    </row>
    <row r="175" ht="15.75" customHeight="1">
      <c r="A175" s="26"/>
      <c r="B175" s="26"/>
      <c r="E175" s="26"/>
    </row>
    <row r="176" ht="15.75" customHeight="1">
      <c r="A176" s="26"/>
      <c r="B176" s="26"/>
      <c r="E176" s="26"/>
    </row>
    <row r="177" ht="15.75" customHeight="1">
      <c r="A177" s="26"/>
      <c r="B177" s="26"/>
      <c r="E177" s="26"/>
    </row>
    <row r="178" ht="15.75" customHeight="1">
      <c r="A178" s="26"/>
      <c r="B178" s="26"/>
      <c r="E178" s="26"/>
    </row>
    <row r="179" ht="15.75" customHeight="1">
      <c r="A179" s="26"/>
      <c r="B179" s="26"/>
      <c r="E179" s="26"/>
    </row>
    <row r="180" ht="15.75" customHeight="1">
      <c r="A180" s="26"/>
      <c r="B180" s="26"/>
      <c r="E180" s="26"/>
    </row>
    <row r="181" ht="15.75" customHeight="1">
      <c r="A181" s="26"/>
      <c r="B181" s="26"/>
      <c r="E181" s="26"/>
    </row>
    <row r="182" ht="15.75" customHeight="1">
      <c r="A182" s="26"/>
      <c r="B182" s="26"/>
      <c r="E182" s="26"/>
    </row>
    <row r="183" ht="15.75" customHeight="1">
      <c r="A183" s="26"/>
      <c r="B183" s="26"/>
      <c r="E183" s="26"/>
    </row>
    <row r="184" ht="15.75" customHeight="1">
      <c r="A184" s="26"/>
      <c r="B184" s="26"/>
      <c r="E184" s="26"/>
    </row>
    <row r="185" ht="15.75" customHeight="1">
      <c r="A185" s="26"/>
      <c r="B185" s="26"/>
      <c r="E185" s="26"/>
    </row>
    <row r="186" ht="15.75" customHeight="1">
      <c r="A186" s="26"/>
      <c r="B186" s="26"/>
      <c r="E186" s="26"/>
    </row>
    <row r="187" ht="15.75" customHeight="1">
      <c r="A187" s="26"/>
      <c r="B187" s="26"/>
      <c r="E187" s="26"/>
    </row>
    <row r="188" ht="15.75" customHeight="1">
      <c r="A188" s="26"/>
      <c r="B188" s="26"/>
      <c r="E188" s="26"/>
    </row>
    <row r="189" ht="15.75" customHeight="1">
      <c r="A189" s="26"/>
      <c r="B189" s="26"/>
      <c r="E189" s="26"/>
    </row>
    <row r="190" ht="15.75" customHeight="1">
      <c r="A190" s="26"/>
      <c r="B190" s="26"/>
      <c r="E190" s="26"/>
    </row>
    <row r="191" ht="15.75" customHeight="1">
      <c r="A191" s="26"/>
      <c r="B191" s="26"/>
      <c r="E191" s="26"/>
    </row>
    <row r="192" ht="15.75" customHeight="1">
      <c r="A192" s="26"/>
      <c r="B192" s="26"/>
      <c r="E192" s="26"/>
    </row>
    <row r="193" ht="15.75" customHeight="1">
      <c r="A193" s="26"/>
      <c r="B193" s="26"/>
      <c r="E193" s="26"/>
    </row>
    <row r="194" ht="15.75" customHeight="1">
      <c r="A194" s="26"/>
      <c r="B194" s="26"/>
      <c r="E194" s="26"/>
    </row>
    <row r="195" ht="15.75" customHeight="1">
      <c r="A195" s="26"/>
      <c r="B195" s="26"/>
      <c r="E195" s="26"/>
    </row>
    <row r="196" ht="15.75" customHeight="1">
      <c r="A196" s="26"/>
      <c r="B196" s="26"/>
      <c r="E196" s="26"/>
    </row>
    <row r="197" ht="15.75" customHeight="1">
      <c r="A197" s="26"/>
      <c r="B197" s="26"/>
      <c r="E197" s="26"/>
    </row>
    <row r="198" ht="15.75" customHeight="1">
      <c r="A198" s="26"/>
      <c r="B198" s="26"/>
      <c r="E198" s="26"/>
    </row>
    <row r="199" ht="15.75" customHeight="1">
      <c r="A199" s="26"/>
      <c r="B199" s="26"/>
      <c r="E199" s="26"/>
    </row>
    <row r="200" ht="15.75" customHeight="1">
      <c r="A200" s="26"/>
      <c r="B200" s="26"/>
      <c r="E200" s="26"/>
    </row>
    <row r="201" ht="15.75" customHeight="1">
      <c r="A201" s="26"/>
      <c r="B201" s="26"/>
      <c r="E201" s="26"/>
    </row>
    <row r="202" ht="15.75" customHeight="1">
      <c r="A202" s="26"/>
      <c r="B202" s="26"/>
      <c r="E202" s="26"/>
    </row>
    <row r="203" ht="15.75" customHeight="1">
      <c r="A203" s="26"/>
      <c r="B203" s="26"/>
      <c r="E203" s="26"/>
    </row>
    <row r="204" ht="15.75" customHeight="1">
      <c r="A204" s="26"/>
      <c r="B204" s="26"/>
      <c r="E204" s="26"/>
    </row>
    <row r="205" ht="15.75" customHeight="1">
      <c r="A205" s="26"/>
      <c r="B205" s="26"/>
      <c r="E205" s="26"/>
    </row>
    <row r="206" ht="15.75" customHeight="1">
      <c r="A206" s="26"/>
      <c r="B206" s="26"/>
      <c r="E206" s="26"/>
    </row>
    <row r="207" ht="15.75" customHeight="1">
      <c r="A207" s="26"/>
      <c r="B207" s="26"/>
      <c r="E207" s="26"/>
    </row>
    <row r="208" ht="15.75" customHeight="1">
      <c r="A208" s="26"/>
      <c r="B208" s="26"/>
      <c r="E208" s="26"/>
    </row>
    <row r="209" ht="15.75" customHeight="1">
      <c r="A209" s="26"/>
      <c r="B209" s="26"/>
      <c r="E209" s="26"/>
    </row>
    <row r="210" ht="15.75" customHeight="1">
      <c r="A210" s="26"/>
      <c r="B210" s="26"/>
      <c r="E210" s="26"/>
    </row>
    <row r="211" ht="15.75" customHeight="1">
      <c r="A211" s="26"/>
      <c r="B211" s="26"/>
      <c r="E211" s="26"/>
    </row>
    <row r="212" ht="15.75" customHeight="1">
      <c r="A212" s="26"/>
      <c r="B212" s="26"/>
      <c r="E212" s="26"/>
    </row>
    <row r="213" ht="15.75" customHeight="1">
      <c r="A213" s="26"/>
      <c r="B213" s="26"/>
      <c r="E213" s="26"/>
    </row>
    <row r="214" ht="15.75" customHeight="1">
      <c r="A214" s="26"/>
      <c r="B214" s="26"/>
      <c r="E214" s="26"/>
    </row>
    <row r="215" ht="15.75" customHeight="1">
      <c r="A215" s="26"/>
      <c r="B215" s="26"/>
      <c r="E215" s="26"/>
    </row>
    <row r="216" ht="15.75" customHeight="1">
      <c r="A216" s="26"/>
      <c r="B216" s="26"/>
      <c r="E216" s="26"/>
    </row>
    <row r="217" ht="15.75" customHeight="1">
      <c r="A217" s="26"/>
      <c r="B217" s="26"/>
      <c r="E217" s="26"/>
    </row>
    <row r="218" ht="15.75" customHeight="1">
      <c r="A218" s="26"/>
      <c r="B218" s="26"/>
      <c r="E218" s="26"/>
    </row>
    <row r="219" ht="15.75" customHeight="1">
      <c r="A219" s="26"/>
      <c r="B219" s="26"/>
      <c r="E219" s="26"/>
    </row>
    <row r="220" ht="15.75" customHeight="1">
      <c r="A220" s="26"/>
      <c r="B220" s="26"/>
      <c r="E220" s="26"/>
    </row>
    <row r="221" ht="15.75" customHeight="1">
      <c r="A221" s="26"/>
      <c r="B221" s="26"/>
      <c r="E221" s="26"/>
    </row>
    <row r="222" ht="15.75" customHeight="1">
      <c r="A222" s="26"/>
      <c r="B222" s="26"/>
      <c r="E222" s="26"/>
    </row>
    <row r="223" ht="15.75" customHeight="1">
      <c r="A223" s="26"/>
      <c r="B223" s="26"/>
      <c r="E223" s="26"/>
    </row>
    <row r="224" ht="15.75" customHeight="1">
      <c r="A224" s="26"/>
      <c r="B224" s="26"/>
      <c r="E224" s="26"/>
    </row>
    <row r="225" ht="15.75" customHeight="1">
      <c r="A225" s="26"/>
      <c r="B225" s="26"/>
      <c r="E225" s="26"/>
    </row>
    <row r="226" ht="15.75" customHeight="1">
      <c r="A226" s="26"/>
      <c r="B226" s="26"/>
      <c r="E226" s="26"/>
    </row>
    <row r="227" ht="15.75" customHeight="1">
      <c r="A227" s="26"/>
      <c r="B227" s="26"/>
      <c r="E227" s="26"/>
    </row>
    <row r="228" ht="15.75" customHeight="1">
      <c r="A228" s="26"/>
      <c r="B228" s="26"/>
      <c r="E228" s="26"/>
    </row>
    <row r="229" ht="15.75" customHeight="1">
      <c r="A229" s="26"/>
      <c r="B229" s="26"/>
      <c r="E229" s="26"/>
    </row>
    <row r="230" ht="15.75" customHeight="1">
      <c r="A230" s="26"/>
      <c r="B230" s="26"/>
      <c r="E230" s="26"/>
    </row>
    <row r="231" ht="15.75" customHeight="1">
      <c r="A231" s="26"/>
      <c r="B231" s="26"/>
      <c r="E231" s="26"/>
    </row>
    <row r="232" ht="15.75" customHeight="1">
      <c r="A232" s="26"/>
      <c r="B232" s="26"/>
      <c r="E232" s="26"/>
    </row>
    <row r="233" ht="15.75" customHeight="1">
      <c r="A233" s="26"/>
      <c r="B233" s="26"/>
      <c r="E233" s="26"/>
    </row>
    <row r="234" ht="15.75" customHeight="1">
      <c r="A234" s="26"/>
      <c r="B234" s="26"/>
      <c r="E234" s="26"/>
    </row>
    <row r="235" ht="15.75" customHeight="1">
      <c r="A235" s="26"/>
      <c r="B235" s="26"/>
      <c r="E235" s="26"/>
    </row>
    <row r="236" ht="15.75" customHeight="1">
      <c r="A236" s="26"/>
      <c r="B236" s="26"/>
      <c r="E236" s="26"/>
    </row>
    <row r="237" ht="15.75" customHeight="1">
      <c r="A237" s="26"/>
      <c r="B237" s="26"/>
      <c r="E237" s="26"/>
    </row>
    <row r="238" ht="15.75" customHeight="1">
      <c r="A238" s="26"/>
      <c r="B238" s="26"/>
      <c r="E238" s="26"/>
    </row>
    <row r="239" ht="15.75" customHeight="1">
      <c r="A239" s="26"/>
      <c r="B239" s="26"/>
      <c r="E239" s="26"/>
    </row>
    <row r="240" ht="15.75" customHeight="1">
      <c r="A240" s="26"/>
      <c r="B240" s="26"/>
      <c r="E240" s="26"/>
    </row>
    <row r="241" ht="15.75" customHeight="1">
      <c r="A241" s="26"/>
      <c r="B241" s="26"/>
      <c r="E241" s="26"/>
    </row>
    <row r="242" ht="15.75" customHeight="1">
      <c r="A242" s="26"/>
      <c r="B242" s="26"/>
      <c r="E242" s="26"/>
    </row>
    <row r="243" ht="15.75" customHeight="1">
      <c r="A243" s="26"/>
      <c r="B243" s="26"/>
      <c r="E243" s="26"/>
    </row>
    <row r="244" ht="15.75" customHeight="1">
      <c r="A244" s="26"/>
      <c r="B244" s="26"/>
      <c r="E244" s="26"/>
    </row>
    <row r="245" ht="15.75" customHeight="1">
      <c r="A245" s="26"/>
      <c r="B245" s="26"/>
      <c r="E245" s="26"/>
    </row>
    <row r="246" ht="15.75" customHeight="1">
      <c r="A246" s="26"/>
      <c r="B246" s="26"/>
      <c r="E246" s="26"/>
    </row>
    <row r="247" ht="15.75" customHeight="1">
      <c r="A247" s="26"/>
      <c r="B247" s="26"/>
      <c r="E247" s="26"/>
    </row>
    <row r="248" ht="15.75" customHeight="1">
      <c r="A248" s="26"/>
      <c r="B248" s="26"/>
      <c r="E248" s="26"/>
    </row>
    <row r="249" ht="15.75" customHeight="1">
      <c r="A249" s="26"/>
      <c r="B249" s="26"/>
      <c r="E249" s="26"/>
    </row>
    <row r="250" ht="15.75" customHeight="1">
      <c r="A250" s="26"/>
      <c r="B250" s="26"/>
      <c r="E250" s="26"/>
    </row>
    <row r="251" ht="15.75" customHeight="1">
      <c r="A251" s="26"/>
      <c r="B251" s="26"/>
      <c r="E251" s="26"/>
    </row>
    <row r="252" ht="15.75" customHeight="1">
      <c r="A252" s="26"/>
      <c r="B252" s="26"/>
      <c r="E252" s="26"/>
    </row>
    <row r="253" ht="15.75" customHeight="1">
      <c r="A253" s="26"/>
      <c r="B253" s="26"/>
      <c r="E253" s="26"/>
    </row>
    <row r="254" ht="15.75" customHeight="1">
      <c r="A254" s="26"/>
      <c r="B254" s="26"/>
      <c r="E254" s="26"/>
    </row>
    <row r="255" ht="15.75" customHeight="1">
      <c r="A255" s="26"/>
      <c r="B255" s="26"/>
      <c r="E255" s="26"/>
    </row>
    <row r="256" ht="15.75" customHeight="1">
      <c r="A256" s="26"/>
      <c r="B256" s="26"/>
      <c r="E256" s="26"/>
    </row>
    <row r="257" ht="15.75" customHeight="1">
      <c r="A257" s="26"/>
      <c r="B257" s="26"/>
      <c r="E257" s="26"/>
    </row>
    <row r="258" ht="15.75" customHeight="1">
      <c r="A258" s="26"/>
      <c r="B258" s="26"/>
      <c r="E258" s="26"/>
    </row>
    <row r="259" ht="15.75" customHeight="1">
      <c r="A259" s="26"/>
      <c r="B259" s="26"/>
      <c r="E259" s="26"/>
    </row>
    <row r="260" ht="15.75" customHeight="1">
      <c r="A260" s="26"/>
      <c r="B260" s="26"/>
      <c r="E260" s="26"/>
    </row>
    <row r="261" ht="15.75" customHeight="1">
      <c r="A261" s="26"/>
      <c r="B261" s="26"/>
      <c r="E261" s="26"/>
    </row>
    <row r="262" ht="15.75" customHeight="1">
      <c r="A262" s="26"/>
      <c r="B262" s="26"/>
      <c r="E262" s="26"/>
    </row>
    <row r="263" ht="15.75" customHeight="1">
      <c r="A263" s="26"/>
      <c r="B263" s="26"/>
      <c r="E263" s="26"/>
    </row>
    <row r="264" ht="15.75" customHeight="1">
      <c r="A264" s="26"/>
      <c r="B264" s="26"/>
      <c r="E264" s="26"/>
    </row>
    <row r="265" ht="15.75" customHeight="1">
      <c r="A265" s="26"/>
      <c r="B265" s="26"/>
      <c r="E265" s="26"/>
    </row>
    <row r="266" ht="15.75" customHeight="1">
      <c r="A266" s="26"/>
      <c r="B266" s="26"/>
      <c r="E266" s="26"/>
    </row>
    <row r="267" ht="15.75" customHeight="1">
      <c r="A267" s="26"/>
      <c r="B267" s="26"/>
      <c r="E267" s="26"/>
    </row>
    <row r="268" ht="15.75" customHeight="1">
      <c r="A268" s="26"/>
      <c r="B268" s="26"/>
      <c r="E268" s="26"/>
    </row>
    <row r="269" ht="15.75" customHeight="1">
      <c r="A269" s="26"/>
      <c r="B269" s="26"/>
      <c r="E269" s="26"/>
    </row>
    <row r="270" ht="15.75" customHeight="1">
      <c r="A270" s="26"/>
      <c r="B270" s="26"/>
      <c r="E270" s="26"/>
    </row>
    <row r="271" ht="15.75" customHeight="1">
      <c r="A271" s="26"/>
      <c r="B271" s="26"/>
      <c r="E271" s="26"/>
    </row>
    <row r="272" ht="15.75" customHeight="1">
      <c r="A272" s="26"/>
      <c r="B272" s="26"/>
      <c r="E272" s="26"/>
    </row>
    <row r="273" ht="15.75" customHeight="1">
      <c r="A273" s="26"/>
      <c r="B273" s="26"/>
      <c r="E273" s="26"/>
    </row>
    <row r="274" ht="15.75" customHeight="1">
      <c r="A274" s="26"/>
      <c r="B274" s="26"/>
      <c r="E274" s="26"/>
    </row>
    <row r="275" ht="15.75" customHeight="1">
      <c r="A275" s="26"/>
      <c r="B275" s="26"/>
      <c r="E275" s="26"/>
    </row>
    <row r="276" ht="15.75" customHeight="1">
      <c r="A276" s="26"/>
      <c r="B276" s="26"/>
      <c r="E276" s="26"/>
    </row>
    <row r="277" ht="15.75" customHeight="1">
      <c r="A277" s="26"/>
      <c r="B277" s="26"/>
      <c r="E277" s="26"/>
    </row>
    <row r="278" ht="15.75" customHeight="1">
      <c r="A278" s="26"/>
      <c r="B278" s="26"/>
      <c r="E278" s="26"/>
    </row>
    <row r="279" ht="15.75" customHeight="1">
      <c r="A279" s="26"/>
      <c r="B279" s="26"/>
      <c r="E279" s="26"/>
    </row>
    <row r="280" ht="15.75" customHeight="1">
      <c r="A280" s="26"/>
      <c r="B280" s="26"/>
      <c r="E280" s="26"/>
    </row>
    <row r="281" ht="15.75" customHeight="1">
      <c r="A281" s="26"/>
      <c r="B281" s="26"/>
      <c r="E281" s="26"/>
    </row>
    <row r="282" ht="15.75" customHeight="1">
      <c r="A282" s="26"/>
      <c r="B282" s="26"/>
      <c r="E282" s="26"/>
    </row>
    <row r="283" ht="15.75" customHeight="1">
      <c r="A283" s="26"/>
      <c r="B283" s="26"/>
      <c r="E283" s="26"/>
    </row>
    <row r="284" ht="15.75" customHeight="1">
      <c r="A284" s="26"/>
      <c r="B284" s="26"/>
      <c r="E284" s="26"/>
    </row>
    <row r="285" ht="15.75" customHeight="1">
      <c r="A285" s="26"/>
      <c r="B285" s="26"/>
      <c r="E285" s="26"/>
    </row>
    <row r="286" ht="15.75" customHeight="1">
      <c r="A286" s="26"/>
      <c r="B286" s="26"/>
      <c r="E286" s="26"/>
    </row>
    <row r="287" ht="15.75" customHeight="1">
      <c r="A287" s="26"/>
      <c r="B287" s="26"/>
      <c r="E287" s="26"/>
    </row>
    <row r="288" ht="15.75" customHeight="1">
      <c r="A288" s="26"/>
      <c r="B288" s="26"/>
      <c r="E288" s="26"/>
    </row>
    <row r="289" ht="15.75" customHeight="1">
      <c r="A289" s="26"/>
      <c r="B289" s="26"/>
      <c r="E289" s="26"/>
    </row>
    <row r="290" ht="15.75" customHeight="1">
      <c r="A290" s="26"/>
      <c r="B290" s="26"/>
      <c r="E290" s="26"/>
    </row>
    <row r="291" ht="15.75" customHeight="1">
      <c r="A291" s="26"/>
      <c r="B291" s="26"/>
      <c r="E291" s="26"/>
    </row>
    <row r="292" ht="15.75" customHeight="1">
      <c r="A292" s="26"/>
      <c r="B292" s="26"/>
      <c r="E292" s="26"/>
    </row>
    <row r="293" ht="15.75" customHeight="1">
      <c r="A293" s="26"/>
      <c r="B293" s="26"/>
      <c r="E293" s="26"/>
    </row>
    <row r="294" ht="15.75" customHeight="1">
      <c r="A294" s="26"/>
      <c r="B294" s="26"/>
      <c r="E294" s="26"/>
    </row>
    <row r="295" ht="15.75" customHeight="1">
      <c r="A295" s="26"/>
      <c r="B295" s="26"/>
      <c r="E295" s="26"/>
    </row>
    <row r="296" ht="15.75" customHeight="1">
      <c r="A296" s="26"/>
      <c r="B296" s="26"/>
      <c r="E296" s="26"/>
    </row>
    <row r="297" ht="15.75" customHeight="1">
      <c r="A297" s="26"/>
      <c r="B297" s="26"/>
      <c r="E297" s="26"/>
    </row>
    <row r="298" ht="15.75" customHeight="1">
      <c r="A298" s="26"/>
      <c r="B298" s="26"/>
      <c r="E298" s="26"/>
    </row>
    <row r="299" ht="15.75" customHeight="1">
      <c r="A299" s="26"/>
      <c r="B299" s="26"/>
      <c r="E299" s="26"/>
    </row>
    <row r="300" ht="15.75" customHeight="1">
      <c r="A300" s="26"/>
      <c r="B300" s="26"/>
      <c r="E300" s="26"/>
    </row>
    <row r="301" ht="15.75" customHeight="1">
      <c r="A301" s="26"/>
      <c r="B301" s="26"/>
      <c r="E301" s="26"/>
    </row>
    <row r="302" ht="15.75" customHeight="1">
      <c r="A302" s="26"/>
      <c r="B302" s="26"/>
      <c r="E302" s="26"/>
    </row>
    <row r="303" ht="15.75" customHeight="1">
      <c r="A303" s="26"/>
      <c r="B303" s="26"/>
      <c r="E303" s="26"/>
    </row>
    <row r="304" ht="15.75" customHeight="1">
      <c r="A304" s="26"/>
      <c r="B304" s="26"/>
      <c r="E304" s="26"/>
    </row>
    <row r="305" ht="15.75" customHeight="1">
      <c r="A305" s="26"/>
      <c r="B305" s="26"/>
      <c r="E305" s="26"/>
    </row>
    <row r="306" ht="15.75" customHeight="1">
      <c r="A306" s="26"/>
      <c r="B306" s="26"/>
      <c r="E306" s="26"/>
    </row>
    <row r="307" ht="15.75" customHeight="1">
      <c r="A307" s="26"/>
      <c r="B307" s="26"/>
      <c r="E307" s="26"/>
    </row>
    <row r="308" ht="15.75" customHeight="1">
      <c r="A308" s="26"/>
      <c r="B308" s="26"/>
      <c r="E308" s="26"/>
    </row>
    <row r="309" ht="15.75" customHeight="1">
      <c r="A309" s="26"/>
      <c r="B309" s="26"/>
      <c r="E309" s="26"/>
    </row>
    <row r="310" ht="15.75" customHeight="1">
      <c r="A310" s="26"/>
      <c r="B310" s="26"/>
      <c r="E310" s="26"/>
    </row>
    <row r="311" ht="15.75" customHeight="1">
      <c r="A311" s="26"/>
      <c r="B311" s="26"/>
      <c r="E311" s="26"/>
    </row>
    <row r="312" ht="15.75" customHeight="1">
      <c r="A312" s="26"/>
      <c r="B312" s="26"/>
      <c r="E312" s="26"/>
    </row>
    <row r="313" ht="15.75" customHeight="1">
      <c r="A313" s="26"/>
      <c r="B313" s="26"/>
      <c r="E313" s="26"/>
    </row>
    <row r="314" ht="15.75" customHeight="1">
      <c r="A314" s="26"/>
      <c r="B314" s="26"/>
      <c r="E314" s="26"/>
    </row>
    <row r="315" ht="15.75" customHeight="1">
      <c r="A315" s="26"/>
      <c r="B315" s="26"/>
      <c r="E315" s="26"/>
    </row>
    <row r="316" ht="15.75" customHeight="1">
      <c r="A316" s="26"/>
      <c r="B316" s="26"/>
      <c r="E316" s="26"/>
    </row>
    <row r="317" ht="15.75" customHeight="1">
      <c r="A317" s="26"/>
      <c r="B317" s="26"/>
      <c r="E317" s="26"/>
    </row>
    <row r="318" ht="15.75" customHeight="1">
      <c r="A318" s="26"/>
      <c r="B318" s="26"/>
      <c r="E318" s="26"/>
    </row>
    <row r="319" ht="15.75" customHeight="1">
      <c r="A319" s="26"/>
      <c r="B319" s="26"/>
      <c r="E319" s="26"/>
    </row>
    <row r="320" ht="15.75" customHeight="1">
      <c r="A320" s="26"/>
      <c r="B320" s="26"/>
      <c r="E320" s="26"/>
    </row>
    <row r="321" ht="15.75" customHeight="1">
      <c r="A321" s="26"/>
      <c r="B321" s="26"/>
      <c r="E321" s="26"/>
    </row>
    <row r="322" ht="15.75" customHeight="1">
      <c r="A322" s="26"/>
      <c r="B322" s="26"/>
      <c r="E322" s="26"/>
    </row>
    <row r="323" ht="15.75" customHeight="1">
      <c r="A323" s="26"/>
      <c r="B323" s="26"/>
      <c r="E323" s="26"/>
    </row>
    <row r="324" ht="15.75" customHeight="1">
      <c r="A324" s="26"/>
      <c r="B324" s="26"/>
      <c r="E324" s="26"/>
    </row>
    <row r="325" ht="15.75" customHeight="1">
      <c r="A325" s="26"/>
      <c r="B325" s="26"/>
      <c r="E325" s="26"/>
    </row>
    <row r="326" ht="15.75" customHeight="1">
      <c r="A326" s="26"/>
      <c r="B326" s="26"/>
      <c r="E326" s="26"/>
    </row>
    <row r="327" ht="15.75" customHeight="1">
      <c r="A327" s="26"/>
      <c r="B327" s="26"/>
      <c r="E327" s="26"/>
    </row>
    <row r="328" ht="15.75" customHeight="1">
      <c r="A328" s="26"/>
      <c r="B328" s="26"/>
      <c r="E328" s="26"/>
    </row>
    <row r="329" ht="15.75" customHeight="1">
      <c r="A329" s="26"/>
      <c r="B329" s="26"/>
      <c r="E329" s="26"/>
    </row>
    <row r="330" ht="15.75" customHeight="1">
      <c r="A330" s="26"/>
      <c r="B330" s="26"/>
      <c r="E330" s="26"/>
    </row>
    <row r="331" ht="15.75" customHeight="1">
      <c r="A331" s="26"/>
      <c r="B331" s="26"/>
      <c r="E331" s="26"/>
    </row>
    <row r="332" ht="15.75" customHeight="1">
      <c r="A332" s="26"/>
      <c r="B332" s="26"/>
      <c r="E332" s="26"/>
    </row>
    <row r="333" ht="15.75" customHeight="1">
      <c r="A333" s="26"/>
      <c r="B333" s="26"/>
      <c r="E333" s="26"/>
    </row>
    <row r="334" ht="15.75" customHeight="1">
      <c r="A334" s="26"/>
      <c r="B334" s="26"/>
      <c r="E334" s="26"/>
    </row>
    <row r="335" ht="15.75" customHeight="1">
      <c r="A335" s="26"/>
      <c r="B335" s="26"/>
      <c r="E335" s="26"/>
    </row>
    <row r="336" ht="15.75" customHeight="1">
      <c r="A336" s="26"/>
      <c r="B336" s="26"/>
      <c r="E336" s="26"/>
    </row>
    <row r="337" ht="15.75" customHeight="1">
      <c r="A337" s="26"/>
      <c r="B337" s="26"/>
      <c r="E337" s="26"/>
    </row>
    <row r="338" ht="15.75" customHeight="1">
      <c r="A338" s="26"/>
      <c r="B338" s="26"/>
      <c r="E338" s="26"/>
    </row>
    <row r="339" ht="15.75" customHeight="1">
      <c r="A339" s="26"/>
      <c r="B339" s="26"/>
      <c r="E339" s="26"/>
    </row>
    <row r="340" ht="15.75" customHeight="1">
      <c r="A340" s="26"/>
      <c r="B340" s="26"/>
      <c r="E340" s="26"/>
    </row>
    <row r="341" ht="15.75" customHeight="1">
      <c r="A341" s="26"/>
      <c r="B341" s="26"/>
      <c r="E341" s="26"/>
    </row>
    <row r="342" ht="15.75" customHeight="1">
      <c r="A342" s="26"/>
      <c r="B342" s="26"/>
      <c r="E342" s="26"/>
    </row>
    <row r="343" ht="15.75" customHeight="1">
      <c r="A343" s="26"/>
      <c r="B343" s="26"/>
      <c r="E343" s="26"/>
    </row>
    <row r="344" ht="15.75" customHeight="1">
      <c r="A344" s="26"/>
      <c r="B344" s="26"/>
      <c r="E344" s="26"/>
    </row>
    <row r="345" ht="15.75" customHeight="1">
      <c r="A345" s="26"/>
      <c r="B345" s="26"/>
      <c r="E345" s="26"/>
    </row>
    <row r="346" ht="15.75" customHeight="1">
      <c r="A346" s="26"/>
      <c r="B346" s="26"/>
      <c r="E346" s="26"/>
    </row>
    <row r="347" ht="15.75" customHeight="1">
      <c r="A347" s="26"/>
      <c r="B347" s="26"/>
      <c r="E347" s="26"/>
    </row>
    <row r="348" ht="15.75" customHeight="1">
      <c r="A348" s="26"/>
      <c r="B348" s="26"/>
      <c r="E348" s="26"/>
    </row>
    <row r="349" ht="15.75" customHeight="1">
      <c r="A349" s="26"/>
      <c r="B349" s="26"/>
      <c r="E349" s="26"/>
    </row>
    <row r="350" ht="15.75" customHeight="1">
      <c r="A350" s="26"/>
      <c r="B350" s="26"/>
      <c r="E350" s="26"/>
    </row>
    <row r="351" ht="15.75" customHeight="1">
      <c r="A351" s="26"/>
      <c r="B351" s="26"/>
      <c r="E351" s="26"/>
    </row>
    <row r="352" ht="15.75" customHeight="1">
      <c r="A352" s="26"/>
      <c r="B352" s="26"/>
      <c r="E352" s="26"/>
    </row>
    <row r="353" ht="15.75" customHeight="1">
      <c r="A353" s="26"/>
      <c r="B353" s="26"/>
      <c r="E353" s="26"/>
    </row>
    <row r="354" ht="15.75" customHeight="1">
      <c r="A354" s="26"/>
      <c r="B354" s="26"/>
      <c r="E354" s="26"/>
    </row>
    <row r="355" ht="15.75" customHeight="1">
      <c r="A355" s="26"/>
      <c r="B355" s="26"/>
      <c r="E355" s="26"/>
    </row>
    <row r="356" ht="15.75" customHeight="1">
      <c r="A356" s="26"/>
      <c r="B356" s="26"/>
      <c r="E356" s="26"/>
    </row>
    <row r="357" ht="15.75" customHeight="1">
      <c r="A357" s="26"/>
      <c r="B357" s="26"/>
      <c r="E357" s="26"/>
    </row>
    <row r="358" ht="15.75" customHeight="1">
      <c r="A358" s="26"/>
      <c r="B358" s="26"/>
      <c r="E358" s="26"/>
    </row>
    <row r="359" ht="15.75" customHeight="1">
      <c r="A359" s="26"/>
      <c r="B359" s="26"/>
      <c r="E359" s="26"/>
    </row>
    <row r="360" ht="15.75" customHeight="1">
      <c r="A360" s="26"/>
      <c r="B360" s="26"/>
      <c r="E360" s="26"/>
    </row>
    <row r="361" ht="15.75" customHeight="1">
      <c r="A361" s="26"/>
      <c r="B361" s="26"/>
      <c r="E361" s="26"/>
    </row>
    <row r="362" ht="15.75" customHeight="1">
      <c r="A362" s="26"/>
      <c r="B362" s="26"/>
      <c r="E362" s="26"/>
    </row>
    <row r="363" ht="15.75" customHeight="1">
      <c r="A363" s="26"/>
      <c r="B363" s="26"/>
      <c r="E363" s="26"/>
    </row>
    <row r="364" ht="15.75" customHeight="1">
      <c r="A364" s="26"/>
      <c r="B364" s="26"/>
      <c r="E364" s="26"/>
    </row>
    <row r="365" ht="15.75" customHeight="1">
      <c r="A365" s="26"/>
      <c r="B365" s="26"/>
      <c r="E365" s="26"/>
    </row>
    <row r="366" ht="15.75" customHeight="1">
      <c r="A366" s="26"/>
      <c r="B366" s="26"/>
      <c r="E366" s="26"/>
    </row>
    <row r="367" ht="15.75" customHeight="1">
      <c r="A367" s="26"/>
      <c r="B367" s="26"/>
      <c r="E367" s="26"/>
    </row>
    <row r="368" ht="15.75" customHeight="1">
      <c r="A368" s="26"/>
      <c r="B368" s="26"/>
      <c r="E368" s="26"/>
    </row>
    <row r="369" ht="15.75" customHeight="1">
      <c r="A369" s="26"/>
      <c r="B369" s="26"/>
      <c r="E369" s="26"/>
    </row>
    <row r="370" ht="15.75" customHeight="1">
      <c r="A370" s="26"/>
      <c r="B370" s="26"/>
      <c r="E370" s="26"/>
    </row>
    <row r="371" ht="15.75" customHeight="1">
      <c r="A371" s="26"/>
      <c r="B371" s="26"/>
      <c r="E371" s="26"/>
    </row>
    <row r="372" ht="15.75" customHeight="1">
      <c r="A372" s="26"/>
      <c r="B372" s="26"/>
      <c r="E372" s="26"/>
    </row>
    <row r="373" ht="15.75" customHeight="1">
      <c r="A373" s="26"/>
      <c r="B373" s="26"/>
      <c r="E373" s="26"/>
    </row>
    <row r="374" ht="15.75" customHeight="1">
      <c r="A374" s="26"/>
      <c r="B374" s="26"/>
      <c r="E374" s="26"/>
    </row>
    <row r="375" ht="15.75" customHeight="1">
      <c r="A375" s="26"/>
      <c r="B375" s="26"/>
      <c r="E375" s="26"/>
    </row>
    <row r="376" ht="15.75" customHeight="1">
      <c r="A376" s="26"/>
      <c r="B376" s="26"/>
      <c r="E376" s="26"/>
    </row>
    <row r="377" ht="15.75" customHeight="1">
      <c r="A377" s="26"/>
      <c r="B377" s="26"/>
      <c r="E377" s="26"/>
    </row>
    <row r="378" ht="15.75" customHeight="1">
      <c r="A378" s="26"/>
      <c r="B378" s="26"/>
      <c r="E378" s="26"/>
    </row>
    <row r="379" ht="15.75" customHeight="1">
      <c r="A379" s="26"/>
      <c r="B379" s="26"/>
      <c r="E379" s="26"/>
    </row>
    <row r="380" ht="15.75" customHeight="1">
      <c r="A380" s="26"/>
      <c r="B380" s="26"/>
      <c r="E380" s="26"/>
    </row>
    <row r="381" ht="15.75" customHeight="1">
      <c r="A381" s="26"/>
      <c r="B381" s="26"/>
      <c r="E381" s="26"/>
    </row>
    <row r="382" ht="15.75" customHeight="1">
      <c r="A382" s="26"/>
      <c r="B382" s="26"/>
      <c r="E382" s="26"/>
    </row>
    <row r="383" ht="15.75" customHeight="1">
      <c r="A383" s="26"/>
      <c r="B383" s="26"/>
      <c r="E383" s="26"/>
    </row>
    <row r="384" ht="15.75" customHeight="1">
      <c r="A384" s="26"/>
      <c r="B384" s="26"/>
      <c r="E384" s="26"/>
    </row>
    <row r="385" ht="15.75" customHeight="1">
      <c r="A385" s="26"/>
      <c r="B385" s="26"/>
      <c r="E385" s="26"/>
    </row>
    <row r="386" ht="15.75" customHeight="1">
      <c r="A386" s="26"/>
      <c r="B386" s="26"/>
      <c r="E386" s="26"/>
    </row>
    <row r="387" ht="15.75" customHeight="1">
      <c r="A387" s="26"/>
      <c r="B387" s="26"/>
      <c r="E387" s="26"/>
    </row>
    <row r="388" ht="15.75" customHeight="1">
      <c r="A388" s="26"/>
      <c r="B388" s="26"/>
      <c r="E388" s="26"/>
    </row>
    <row r="389" ht="15.75" customHeight="1">
      <c r="A389" s="26"/>
      <c r="B389" s="26"/>
      <c r="E389" s="26"/>
    </row>
    <row r="390" ht="15.75" customHeight="1">
      <c r="A390" s="26"/>
      <c r="B390" s="26"/>
      <c r="E390" s="26"/>
    </row>
    <row r="391" ht="15.75" customHeight="1">
      <c r="A391" s="26"/>
      <c r="B391" s="26"/>
      <c r="E391" s="26"/>
    </row>
    <row r="392" ht="15.75" customHeight="1">
      <c r="A392" s="26"/>
      <c r="B392" s="26"/>
      <c r="E392" s="26"/>
    </row>
    <row r="393" ht="15.75" customHeight="1">
      <c r="A393" s="26"/>
      <c r="B393" s="26"/>
      <c r="E393" s="26"/>
    </row>
    <row r="394" ht="15.75" customHeight="1">
      <c r="A394" s="26"/>
      <c r="B394" s="26"/>
      <c r="E394" s="26"/>
    </row>
    <row r="395" ht="15.75" customHeight="1">
      <c r="A395" s="26"/>
      <c r="B395" s="26"/>
      <c r="E395" s="26"/>
    </row>
    <row r="396" ht="15.75" customHeight="1">
      <c r="A396" s="26"/>
      <c r="B396" s="26"/>
      <c r="E396" s="26"/>
    </row>
    <row r="397" ht="15.75" customHeight="1">
      <c r="A397" s="26"/>
      <c r="B397" s="26"/>
      <c r="E397" s="26"/>
    </row>
    <row r="398" ht="15.75" customHeight="1">
      <c r="A398" s="26"/>
      <c r="B398" s="26"/>
      <c r="E398" s="26"/>
    </row>
    <row r="399" ht="15.75" customHeight="1">
      <c r="A399" s="26"/>
      <c r="B399" s="26"/>
      <c r="E399" s="26"/>
    </row>
    <row r="400" ht="15.75" customHeight="1">
      <c r="A400" s="26"/>
      <c r="B400" s="26"/>
      <c r="E400" s="26"/>
    </row>
    <row r="401" ht="15.75" customHeight="1">
      <c r="A401" s="26"/>
      <c r="B401" s="26"/>
      <c r="E401" s="26"/>
    </row>
    <row r="402" ht="15.75" customHeight="1">
      <c r="A402" s="26"/>
      <c r="B402" s="26"/>
      <c r="E402" s="26"/>
    </row>
    <row r="403" ht="15.75" customHeight="1">
      <c r="A403" s="26"/>
      <c r="B403" s="26"/>
      <c r="E403" s="26"/>
    </row>
    <row r="404" ht="15.75" customHeight="1">
      <c r="A404" s="26"/>
      <c r="B404" s="26"/>
      <c r="E404" s="26"/>
    </row>
    <row r="405" ht="15.75" customHeight="1">
      <c r="A405" s="26"/>
      <c r="B405" s="26"/>
      <c r="E405" s="26"/>
    </row>
    <row r="406" ht="15.75" customHeight="1">
      <c r="A406" s="26"/>
      <c r="B406" s="26"/>
      <c r="E406" s="26"/>
    </row>
    <row r="407" ht="15.75" customHeight="1">
      <c r="A407" s="26"/>
      <c r="B407" s="26"/>
      <c r="E407" s="26"/>
    </row>
    <row r="408" ht="15.75" customHeight="1">
      <c r="A408" s="26"/>
      <c r="B408" s="26"/>
      <c r="E408" s="26"/>
    </row>
    <row r="409" ht="15.75" customHeight="1">
      <c r="A409" s="26"/>
      <c r="B409" s="26"/>
      <c r="E409" s="26"/>
    </row>
    <row r="410" ht="15.75" customHeight="1">
      <c r="A410" s="26"/>
      <c r="B410" s="26"/>
      <c r="E410" s="26"/>
    </row>
    <row r="411" ht="15.75" customHeight="1">
      <c r="A411" s="26"/>
      <c r="B411" s="26"/>
      <c r="E411" s="26"/>
    </row>
    <row r="412" ht="15.75" customHeight="1">
      <c r="A412" s="26"/>
      <c r="B412" s="26"/>
      <c r="E412" s="26"/>
    </row>
    <row r="413" ht="15.75" customHeight="1">
      <c r="A413" s="26"/>
      <c r="B413" s="26"/>
      <c r="E413" s="26"/>
    </row>
    <row r="414" ht="15.75" customHeight="1">
      <c r="A414" s="26"/>
      <c r="B414" s="26"/>
      <c r="E414" s="26"/>
    </row>
    <row r="415" ht="15.75" customHeight="1">
      <c r="A415" s="26"/>
      <c r="B415" s="26"/>
      <c r="E415" s="26"/>
    </row>
    <row r="416" ht="15.75" customHeight="1">
      <c r="A416" s="26"/>
      <c r="B416" s="26"/>
      <c r="E416" s="26"/>
    </row>
    <row r="417" ht="15.75" customHeight="1">
      <c r="A417" s="26"/>
      <c r="B417" s="26"/>
      <c r="E417" s="26"/>
    </row>
    <row r="418" ht="15.75" customHeight="1">
      <c r="A418" s="26"/>
      <c r="B418" s="26"/>
      <c r="E418" s="26"/>
    </row>
    <row r="419" ht="15.75" customHeight="1">
      <c r="A419" s="26"/>
      <c r="B419" s="26"/>
      <c r="E419" s="26"/>
    </row>
    <row r="420" ht="15.75" customHeight="1">
      <c r="A420" s="26"/>
      <c r="B420" s="26"/>
      <c r="E420" s="26"/>
    </row>
    <row r="421" ht="15.75" customHeight="1">
      <c r="A421" s="26"/>
      <c r="B421" s="26"/>
      <c r="E421" s="26"/>
    </row>
    <row r="422" ht="15.75" customHeight="1">
      <c r="A422" s="26"/>
      <c r="B422" s="26"/>
      <c r="E422" s="26"/>
    </row>
    <row r="423" ht="15.75" customHeight="1">
      <c r="A423" s="26"/>
      <c r="B423" s="26"/>
      <c r="E423" s="26"/>
    </row>
    <row r="424" ht="15.75" customHeight="1">
      <c r="A424" s="26"/>
      <c r="B424" s="26"/>
      <c r="E424" s="26"/>
    </row>
    <row r="425" ht="15.75" customHeight="1">
      <c r="A425" s="26"/>
      <c r="B425" s="26"/>
      <c r="E425" s="26"/>
    </row>
    <row r="426" ht="15.75" customHeight="1">
      <c r="A426" s="26"/>
      <c r="B426" s="26"/>
      <c r="E426" s="26"/>
    </row>
    <row r="427" ht="15.75" customHeight="1">
      <c r="A427" s="26"/>
      <c r="B427" s="26"/>
      <c r="E427" s="26"/>
    </row>
    <row r="428" ht="15.75" customHeight="1">
      <c r="A428" s="26"/>
      <c r="B428" s="26"/>
      <c r="E428" s="26"/>
    </row>
    <row r="429" ht="15.75" customHeight="1">
      <c r="A429" s="26"/>
      <c r="B429" s="26"/>
      <c r="E429" s="26"/>
    </row>
    <row r="430" ht="15.75" customHeight="1">
      <c r="A430" s="26"/>
      <c r="B430" s="26"/>
      <c r="E430" s="26"/>
    </row>
    <row r="431" ht="15.75" customHeight="1">
      <c r="A431" s="26"/>
      <c r="B431" s="26"/>
      <c r="E431" s="26"/>
    </row>
    <row r="432" ht="15.75" customHeight="1">
      <c r="A432" s="26"/>
      <c r="B432" s="26"/>
      <c r="E432" s="26"/>
    </row>
    <row r="433" ht="15.75" customHeight="1">
      <c r="A433" s="26"/>
      <c r="B433" s="26"/>
      <c r="E433" s="26"/>
    </row>
    <row r="434" ht="15.75" customHeight="1">
      <c r="A434" s="26"/>
      <c r="B434" s="26"/>
      <c r="E434" s="26"/>
    </row>
    <row r="435" ht="15.75" customHeight="1">
      <c r="A435" s="26"/>
      <c r="B435" s="26"/>
      <c r="E435" s="26"/>
    </row>
    <row r="436" ht="15.75" customHeight="1">
      <c r="A436" s="26"/>
      <c r="B436" s="26"/>
      <c r="E436" s="26"/>
    </row>
    <row r="437" ht="15.75" customHeight="1">
      <c r="A437" s="26"/>
      <c r="B437" s="26"/>
      <c r="E437" s="26"/>
    </row>
    <row r="438" ht="15.75" customHeight="1">
      <c r="A438" s="26"/>
      <c r="B438" s="26"/>
      <c r="E438" s="26"/>
    </row>
    <row r="439" ht="15.75" customHeight="1">
      <c r="A439" s="26"/>
      <c r="B439" s="26"/>
      <c r="E439" s="26"/>
    </row>
    <row r="440" ht="15.75" customHeight="1">
      <c r="A440" s="26"/>
      <c r="B440" s="26"/>
      <c r="E440" s="26"/>
    </row>
    <row r="441" ht="15.75" customHeight="1">
      <c r="A441" s="26"/>
      <c r="B441" s="26"/>
      <c r="E441" s="26"/>
    </row>
    <row r="442" ht="15.75" customHeight="1">
      <c r="A442" s="26"/>
      <c r="B442" s="26"/>
      <c r="E442" s="26"/>
    </row>
    <row r="443" ht="15.75" customHeight="1">
      <c r="A443" s="26"/>
      <c r="B443" s="26"/>
      <c r="E443" s="26"/>
    </row>
    <row r="444" ht="15.75" customHeight="1">
      <c r="A444" s="26"/>
      <c r="B444" s="26"/>
      <c r="E444" s="26"/>
    </row>
    <row r="445" ht="15.75" customHeight="1">
      <c r="A445" s="26"/>
      <c r="B445" s="26"/>
      <c r="E445" s="26"/>
    </row>
    <row r="446" ht="15.75" customHeight="1">
      <c r="A446" s="26"/>
      <c r="B446" s="26"/>
      <c r="E446" s="26"/>
    </row>
    <row r="447" ht="15.75" customHeight="1">
      <c r="A447" s="26"/>
      <c r="B447" s="26"/>
      <c r="E447" s="26"/>
    </row>
    <row r="448" ht="15.75" customHeight="1">
      <c r="A448" s="26"/>
      <c r="B448" s="26"/>
      <c r="E448" s="26"/>
    </row>
    <row r="449" ht="15.75" customHeight="1">
      <c r="A449" s="26"/>
      <c r="B449" s="26"/>
      <c r="E449" s="26"/>
    </row>
    <row r="450" ht="15.75" customHeight="1">
      <c r="A450" s="26"/>
      <c r="B450" s="26"/>
      <c r="E450" s="26"/>
    </row>
    <row r="451" ht="15.75" customHeight="1">
      <c r="A451" s="26"/>
      <c r="B451" s="26"/>
      <c r="E451" s="26"/>
    </row>
    <row r="452" ht="15.75" customHeight="1">
      <c r="A452" s="26"/>
      <c r="B452" s="26"/>
      <c r="E452" s="26"/>
    </row>
    <row r="453" ht="15.75" customHeight="1">
      <c r="A453" s="26"/>
      <c r="B453" s="26"/>
      <c r="E453" s="26"/>
    </row>
    <row r="454" ht="15.75" customHeight="1">
      <c r="A454" s="26"/>
      <c r="B454" s="26"/>
      <c r="E454" s="26"/>
    </row>
    <row r="455" ht="15.75" customHeight="1">
      <c r="A455" s="26"/>
      <c r="B455" s="26"/>
      <c r="E455" s="26"/>
    </row>
    <row r="456" ht="15.75" customHeight="1">
      <c r="A456" s="26"/>
      <c r="B456" s="26"/>
      <c r="E456" s="26"/>
    </row>
    <row r="457" ht="15.75" customHeight="1">
      <c r="A457" s="26"/>
      <c r="B457" s="26"/>
      <c r="E457" s="26"/>
    </row>
    <row r="458" ht="15.75" customHeight="1">
      <c r="A458" s="26"/>
      <c r="B458" s="26"/>
      <c r="E458" s="26"/>
    </row>
    <row r="459" ht="15.75" customHeight="1">
      <c r="A459" s="26"/>
      <c r="B459" s="26"/>
      <c r="E459" s="26"/>
    </row>
    <row r="460" ht="15.75" customHeight="1">
      <c r="A460" s="26"/>
      <c r="B460" s="26"/>
      <c r="E460" s="26"/>
    </row>
    <row r="461" ht="15.75" customHeight="1">
      <c r="A461" s="26"/>
      <c r="B461" s="26"/>
      <c r="E461" s="26"/>
    </row>
    <row r="462" ht="15.75" customHeight="1">
      <c r="A462" s="26"/>
      <c r="B462" s="26"/>
      <c r="E462" s="26"/>
    </row>
    <row r="463" ht="15.75" customHeight="1">
      <c r="A463" s="26"/>
      <c r="B463" s="26"/>
      <c r="E463" s="26"/>
    </row>
    <row r="464" ht="15.75" customHeight="1">
      <c r="A464" s="26"/>
      <c r="B464" s="26"/>
      <c r="E464" s="26"/>
    </row>
    <row r="465" ht="15.75" customHeight="1">
      <c r="A465" s="26"/>
      <c r="B465" s="26"/>
      <c r="E465" s="26"/>
    </row>
    <row r="466" ht="15.75" customHeight="1">
      <c r="A466" s="26"/>
      <c r="B466" s="26"/>
      <c r="E466" s="26"/>
    </row>
    <row r="467" ht="15.75" customHeight="1">
      <c r="A467" s="26"/>
      <c r="B467" s="26"/>
      <c r="E467" s="26"/>
    </row>
    <row r="468" ht="15.75" customHeight="1">
      <c r="A468" s="26"/>
      <c r="B468" s="26"/>
      <c r="E468" s="26"/>
    </row>
    <row r="469" ht="15.75" customHeight="1">
      <c r="A469" s="26"/>
      <c r="B469" s="26"/>
      <c r="E469" s="26"/>
    </row>
    <row r="470" ht="15.75" customHeight="1">
      <c r="A470" s="26"/>
      <c r="B470" s="26"/>
      <c r="E470" s="26"/>
    </row>
    <row r="471" ht="15.75" customHeight="1">
      <c r="A471" s="26"/>
      <c r="B471" s="26"/>
      <c r="E471" s="26"/>
    </row>
    <row r="472" ht="15.75" customHeight="1">
      <c r="A472" s="26"/>
      <c r="B472" s="26"/>
      <c r="E472" s="26"/>
    </row>
    <row r="473" ht="15.75" customHeight="1">
      <c r="A473" s="26"/>
      <c r="B473" s="26"/>
      <c r="E473" s="26"/>
    </row>
    <row r="474" ht="15.75" customHeight="1">
      <c r="A474" s="26"/>
      <c r="B474" s="26"/>
      <c r="E474" s="26"/>
    </row>
    <row r="475" ht="15.75" customHeight="1">
      <c r="A475" s="26"/>
      <c r="B475" s="26"/>
      <c r="E475" s="26"/>
    </row>
    <row r="476" ht="15.75" customHeight="1">
      <c r="A476" s="26"/>
      <c r="B476" s="26"/>
      <c r="E476" s="26"/>
    </row>
    <row r="477" ht="15.75" customHeight="1">
      <c r="A477" s="26"/>
      <c r="B477" s="26"/>
      <c r="E477" s="26"/>
    </row>
    <row r="478" ht="15.75" customHeight="1">
      <c r="A478" s="26"/>
      <c r="B478" s="26"/>
      <c r="E478" s="26"/>
    </row>
    <row r="479" ht="15.75" customHeight="1">
      <c r="A479" s="26"/>
      <c r="B479" s="26"/>
      <c r="E479" s="26"/>
    </row>
    <row r="480" ht="15.75" customHeight="1">
      <c r="A480" s="26"/>
      <c r="B480" s="26"/>
      <c r="E480" s="26"/>
    </row>
    <row r="481" ht="15.75" customHeight="1">
      <c r="A481" s="26"/>
      <c r="B481" s="26"/>
      <c r="E481" s="26"/>
    </row>
    <row r="482" ht="15.75" customHeight="1">
      <c r="A482" s="26"/>
      <c r="B482" s="26"/>
      <c r="E482" s="26"/>
    </row>
    <row r="483" ht="15.75" customHeight="1">
      <c r="A483" s="26"/>
      <c r="B483" s="26"/>
      <c r="E483" s="26"/>
    </row>
    <row r="484" ht="15.75" customHeight="1">
      <c r="A484" s="26"/>
      <c r="B484" s="26"/>
      <c r="E484" s="26"/>
    </row>
    <row r="485" ht="15.75" customHeight="1">
      <c r="A485" s="26"/>
      <c r="B485" s="26"/>
      <c r="E485" s="26"/>
    </row>
    <row r="486" ht="15.75" customHeight="1">
      <c r="A486" s="26"/>
      <c r="B486" s="26"/>
      <c r="E486" s="26"/>
    </row>
    <row r="487" ht="15.75" customHeight="1">
      <c r="A487" s="26"/>
      <c r="B487" s="26"/>
      <c r="E487" s="26"/>
    </row>
    <row r="488" ht="15.75" customHeight="1">
      <c r="A488" s="26"/>
      <c r="B488" s="26"/>
      <c r="E488" s="26"/>
    </row>
    <row r="489" ht="15.75" customHeight="1">
      <c r="A489" s="26"/>
      <c r="B489" s="26"/>
      <c r="E489" s="26"/>
    </row>
    <row r="490" ht="15.75" customHeight="1">
      <c r="A490" s="26"/>
      <c r="B490" s="26"/>
      <c r="E490" s="26"/>
    </row>
    <row r="491" ht="15.75" customHeight="1">
      <c r="A491" s="26"/>
      <c r="B491" s="26"/>
      <c r="E491" s="26"/>
    </row>
    <row r="492" ht="15.75" customHeight="1">
      <c r="A492" s="26"/>
      <c r="B492" s="26"/>
      <c r="E492" s="26"/>
    </row>
    <row r="493" ht="15.75" customHeight="1">
      <c r="A493" s="26"/>
      <c r="B493" s="26"/>
      <c r="E493" s="26"/>
    </row>
    <row r="494" ht="15.75" customHeight="1">
      <c r="A494" s="26"/>
      <c r="B494" s="26"/>
      <c r="E494" s="26"/>
    </row>
    <row r="495" ht="15.75" customHeight="1">
      <c r="A495" s="26"/>
      <c r="B495" s="26"/>
      <c r="E495" s="26"/>
    </row>
    <row r="496" ht="15.75" customHeight="1">
      <c r="A496" s="26"/>
      <c r="B496" s="26"/>
      <c r="E496" s="26"/>
    </row>
    <row r="497" ht="15.75" customHeight="1">
      <c r="A497" s="26"/>
      <c r="B497" s="26"/>
      <c r="E497" s="26"/>
    </row>
    <row r="498" ht="15.75" customHeight="1">
      <c r="A498" s="26"/>
      <c r="B498" s="26"/>
      <c r="E498" s="26"/>
    </row>
    <row r="499" ht="15.75" customHeight="1">
      <c r="A499" s="26"/>
      <c r="B499" s="26"/>
      <c r="E499" s="26"/>
    </row>
    <row r="500" ht="15.75" customHeight="1">
      <c r="A500" s="26"/>
      <c r="B500" s="26"/>
      <c r="E500" s="26"/>
    </row>
    <row r="501" ht="15.75" customHeight="1">
      <c r="A501" s="26"/>
      <c r="B501" s="26"/>
      <c r="E501" s="26"/>
    </row>
    <row r="502" ht="15.75" customHeight="1">
      <c r="A502" s="26"/>
      <c r="B502" s="26"/>
      <c r="E502" s="26"/>
    </row>
    <row r="503" ht="15.75" customHeight="1">
      <c r="A503" s="26"/>
      <c r="B503" s="26"/>
      <c r="E503" s="26"/>
    </row>
    <row r="504" ht="15.75" customHeight="1">
      <c r="A504" s="26"/>
      <c r="B504" s="26"/>
      <c r="E504" s="26"/>
    </row>
    <row r="505" ht="15.75" customHeight="1">
      <c r="A505" s="26"/>
      <c r="B505" s="26"/>
      <c r="E505" s="26"/>
    </row>
    <row r="506" ht="15.75" customHeight="1">
      <c r="A506" s="26"/>
      <c r="B506" s="26"/>
      <c r="E506" s="26"/>
    </row>
    <row r="507" ht="15.75" customHeight="1">
      <c r="A507" s="26"/>
      <c r="B507" s="26"/>
      <c r="E507" s="26"/>
    </row>
    <row r="508" ht="15.75" customHeight="1">
      <c r="A508" s="26"/>
      <c r="B508" s="26"/>
      <c r="E508" s="26"/>
    </row>
    <row r="509" ht="15.75" customHeight="1">
      <c r="A509" s="26"/>
      <c r="B509" s="26"/>
      <c r="E509" s="26"/>
    </row>
    <row r="510" ht="15.75" customHeight="1">
      <c r="A510" s="26"/>
      <c r="B510" s="26"/>
      <c r="E510" s="26"/>
    </row>
    <row r="511" ht="15.75" customHeight="1">
      <c r="A511" s="26"/>
      <c r="B511" s="26"/>
      <c r="E511" s="26"/>
    </row>
    <row r="512" ht="15.75" customHeight="1">
      <c r="A512" s="26"/>
      <c r="B512" s="26"/>
      <c r="E512" s="26"/>
    </row>
    <row r="513" ht="15.75" customHeight="1">
      <c r="A513" s="26"/>
      <c r="B513" s="26"/>
      <c r="E513" s="26"/>
    </row>
    <row r="514" ht="15.75" customHeight="1">
      <c r="A514" s="26"/>
      <c r="B514" s="26"/>
      <c r="E514" s="26"/>
    </row>
    <row r="515" ht="15.75" customHeight="1">
      <c r="A515" s="26"/>
      <c r="B515" s="26"/>
      <c r="E515" s="26"/>
    </row>
    <row r="516" ht="15.75" customHeight="1">
      <c r="A516" s="26"/>
      <c r="B516" s="26"/>
      <c r="E516" s="26"/>
    </row>
    <row r="517" ht="15.75" customHeight="1">
      <c r="A517" s="26"/>
      <c r="B517" s="26"/>
      <c r="E517" s="26"/>
    </row>
    <row r="518" ht="15.75" customHeight="1">
      <c r="A518" s="26"/>
      <c r="B518" s="26"/>
      <c r="E518" s="26"/>
    </row>
    <row r="519" ht="15.75" customHeight="1">
      <c r="A519" s="26"/>
      <c r="B519" s="26"/>
      <c r="E519" s="26"/>
    </row>
    <row r="520" ht="15.75" customHeight="1">
      <c r="A520" s="26"/>
      <c r="B520" s="26"/>
      <c r="E520" s="26"/>
    </row>
    <row r="521" ht="15.75" customHeight="1">
      <c r="A521" s="26"/>
      <c r="B521" s="26"/>
      <c r="E521" s="26"/>
    </row>
    <row r="522" ht="15.75" customHeight="1">
      <c r="A522" s="26"/>
      <c r="B522" s="26"/>
      <c r="E522" s="26"/>
    </row>
    <row r="523" ht="15.75" customHeight="1">
      <c r="A523" s="26"/>
      <c r="B523" s="26"/>
      <c r="E523" s="26"/>
    </row>
    <row r="524" ht="15.75" customHeight="1">
      <c r="A524" s="26"/>
      <c r="B524" s="26"/>
      <c r="E524" s="26"/>
    </row>
    <row r="525" ht="15.75" customHeight="1">
      <c r="A525" s="26"/>
      <c r="B525" s="26"/>
      <c r="E525" s="26"/>
    </row>
    <row r="526" ht="15.75" customHeight="1">
      <c r="A526" s="26"/>
      <c r="B526" s="26"/>
      <c r="E526" s="26"/>
    </row>
    <row r="527" ht="15.75" customHeight="1">
      <c r="A527" s="26"/>
      <c r="B527" s="26"/>
      <c r="E527" s="26"/>
    </row>
    <row r="528" ht="15.75" customHeight="1">
      <c r="A528" s="26"/>
      <c r="B528" s="26"/>
      <c r="E528" s="26"/>
    </row>
    <row r="529" ht="15.75" customHeight="1">
      <c r="A529" s="26"/>
      <c r="B529" s="26"/>
      <c r="E529" s="26"/>
    </row>
    <row r="530" ht="15.75" customHeight="1">
      <c r="A530" s="26"/>
      <c r="B530" s="26"/>
      <c r="E530" s="26"/>
    </row>
    <row r="531" ht="15.75" customHeight="1">
      <c r="A531" s="26"/>
      <c r="B531" s="26"/>
      <c r="E531" s="26"/>
    </row>
    <row r="532" ht="15.75" customHeight="1">
      <c r="A532" s="26"/>
      <c r="B532" s="26"/>
      <c r="E532" s="26"/>
    </row>
    <row r="533" ht="15.75" customHeight="1">
      <c r="A533" s="26"/>
      <c r="B533" s="26"/>
      <c r="E533" s="26"/>
    </row>
    <row r="534" ht="15.75" customHeight="1">
      <c r="A534" s="26"/>
      <c r="B534" s="26"/>
      <c r="E534" s="26"/>
    </row>
    <row r="535" ht="15.75" customHeight="1">
      <c r="A535" s="26"/>
      <c r="B535" s="26"/>
      <c r="E535" s="26"/>
    </row>
    <row r="536" ht="15.75" customHeight="1">
      <c r="A536" s="26"/>
      <c r="B536" s="26"/>
      <c r="E536" s="26"/>
    </row>
    <row r="537" ht="15.75" customHeight="1">
      <c r="A537" s="26"/>
      <c r="B537" s="26"/>
      <c r="E537" s="26"/>
    </row>
    <row r="538" ht="15.75" customHeight="1">
      <c r="A538" s="26"/>
      <c r="B538" s="26"/>
      <c r="E538" s="26"/>
    </row>
    <row r="539" ht="15.75" customHeight="1">
      <c r="A539" s="26"/>
      <c r="B539" s="26"/>
      <c r="E539" s="26"/>
    </row>
    <row r="540" ht="15.75" customHeight="1">
      <c r="A540" s="26"/>
      <c r="B540" s="26"/>
      <c r="E540" s="26"/>
    </row>
    <row r="541" ht="15.75" customHeight="1">
      <c r="A541" s="26"/>
      <c r="B541" s="26"/>
      <c r="E541" s="26"/>
    </row>
    <row r="542" ht="15.75" customHeight="1">
      <c r="A542" s="26"/>
      <c r="B542" s="26"/>
      <c r="E542" s="26"/>
    </row>
    <row r="543" ht="15.75" customHeight="1">
      <c r="A543" s="26"/>
      <c r="B543" s="26"/>
      <c r="E543" s="26"/>
    </row>
    <row r="544" ht="15.75" customHeight="1">
      <c r="A544" s="26"/>
      <c r="B544" s="26"/>
      <c r="E544" s="26"/>
    </row>
    <row r="545" ht="15.75" customHeight="1">
      <c r="A545" s="26"/>
      <c r="B545" s="26"/>
      <c r="E545" s="26"/>
    </row>
    <row r="546" ht="15.75" customHeight="1">
      <c r="A546" s="26"/>
      <c r="B546" s="26"/>
      <c r="E546" s="26"/>
    </row>
    <row r="547" ht="15.75" customHeight="1">
      <c r="A547" s="26"/>
      <c r="B547" s="26"/>
      <c r="E547" s="26"/>
    </row>
    <row r="548" ht="15.75" customHeight="1">
      <c r="A548" s="26"/>
      <c r="B548" s="26"/>
      <c r="E548" s="26"/>
    </row>
    <row r="549" ht="15.75" customHeight="1">
      <c r="A549" s="26"/>
      <c r="B549" s="26"/>
      <c r="E549" s="26"/>
    </row>
    <row r="550" ht="15.75" customHeight="1">
      <c r="A550" s="26"/>
      <c r="B550" s="26"/>
      <c r="E550" s="26"/>
    </row>
    <row r="551" ht="15.75" customHeight="1">
      <c r="A551" s="26"/>
      <c r="B551" s="26"/>
      <c r="E551" s="26"/>
    </row>
    <row r="552" ht="15.75" customHeight="1">
      <c r="A552" s="26"/>
      <c r="B552" s="26"/>
      <c r="E552" s="26"/>
    </row>
    <row r="553" ht="15.75" customHeight="1">
      <c r="A553" s="26"/>
      <c r="B553" s="26"/>
      <c r="E553" s="26"/>
    </row>
    <row r="554" ht="15.75" customHeight="1">
      <c r="A554" s="26"/>
      <c r="B554" s="26"/>
      <c r="E554" s="26"/>
    </row>
    <row r="555" ht="15.75" customHeight="1">
      <c r="A555" s="26"/>
      <c r="B555" s="26"/>
      <c r="E555" s="26"/>
    </row>
    <row r="556" ht="15.75" customHeight="1">
      <c r="A556" s="26"/>
      <c r="B556" s="26"/>
      <c r="E556" s="26"/>
    </row>
    <row r="557" ht="15.75" customHeight="1">
      <c r="A557" s="26"/>
      <c r="B557" s="26"/>
      <c r="E557" s="26"/>
    </row>
    <row r="558" ht="15.75" customHeight="1">
      <c r="A558" s="26"/>
      <c r="B558" s="26"/>
      <c r="E558" s="26"/>
    </row>
    <row r="559" ht="15.75" customHeight="1">
      <c r="A559" s="26"/>
      <c r="B559" s="26"/>
      <c r="E559" s="26"/>
    </row>
    <row r="560" ht="15.75" customHeight="1">
      <c r="A560" s="26"/>
      <c r="B560" s="26"/>
      <c r="E560" s="26"/>
    </row>
    <row r="561" ht="15.75" customHeight="1">
      <c r="A561" s="26"/>
      <c r="B561" s="26"/>
      <c r="E561" s="26"/>
    </row>
    <row r="562" ht="15.75" customHeight="1">
      <c r="A562" s="26"/>
      <c r="B562" s="26"/>
      <c r="E562" s="26"/>
    </row>
    <row r="563" ht="15.75" customHeight="1">
      <c r="A563" s="26"/>
      <c r="B563" s="26"/>
      <c r="E563" s="26"/>
    </row>
    <row r="564" ht="15.75" customHeight="1">
      <c r="A564" s="26"/>
      <c r="B564" s="26"/>
      <c r="E564" s="26"/>
    </row>
    <row r="565" ht="15.75" customHeight="1">
      <c r="A565" s="26"/>
      <c r="B565" s="26"/>
      <c r="E565" s="26"/>
    </row>
    <row r="566" ht="15.75" customHeight="1">
      <c r="A566" s="26"/>
      <c r="B566" s="26"/>
      <c r="E566" s="26"/>
    </row>
    <row r="567" ht="15.75" customHeight="1">
      <c r="A567" s="26"/>
      <c r="B567" s="26"/>
      <c r="E567" s="26"/>
    </row>
    <row r="568" ht="15.75" customHeight="1">
      <c r="A568" s="26"/>
      <c r="B568" s="26"/>
      <c r="E568" s="26"/>
    </row>
    <row r="569" ht="15.75" customHeight="1">
      <c r="A569" s="26"/>
      <c r="B569" s="26"/>
      <c r="E569" s="26"/>
    </row>
    <row r="570" ht="15.75" customHeight="1">
      <c r="A570" s="26"/>
      <c r="B570" s="26"/>
      <c r="E570" s="26"/>
    </row>
    <row r="571" ht="15.75" customHeight="1">
      <c r="A571" s="26"/>
      <c r="B571" s="26"/>
      <c r="E571" s="26"/>
    </row>
    <row r="572" ht="15.75" customHeight="1">
      <c r="A572" s="26"/>
      <c r="B572" s="26"/>
      <c r="E572" s="26"/>
    </row>
    <row r="573" ht="15.75" customHeight="1">
      <c r="A573" s="26"/>
      <c r="B573" s="26"/>
      <c r="E573" s="26"/>
    </row>
    <row r="574" ht="15.75" customHeight="1">
      <c r="A574" s="26"/>
      <c r="B574" s="26"/>
      <c r="E574" s="26"/>
    </row>
    <row r="575" ht="15.75" customHeight="1">
      <c r="A575" s="26"/>
      <c r="B575" s="26"/>
      <c r="E575" s="26"/>
    </row>
    <row r="576" ht="15.75" customHeight="1">
      <c r="A576" s="26"/>
      <c r="B576" s="26"/>
      <c r="E576" s="26"/>
    </row>
    <row r="577" ht="15.75" customHeight="1">
      <c r="A577" s="26"/>
      <c r="B577" s="26"/>
      <c r="E577" s="26"/>
    </row>
    <row r="578" ht="15.75" customHeight="1">
      <c r="A578" s="26"/>
      <c r="B578" s="26"/>
      <c r="E578" s="26"/>
    </row>
    <row r="579" ht="15.75" customHeight="1">
      <c r="A579" s="26"/>
      <c r="B579" s="26"/>
      <c r="E579" s="26"/>
    </row>
    <row r="580" ht="15.75" customHeight="1">
      <c r="A580" s="26"/>
      <c r="B580" s="26"/>
      <c r="E580" s="26"/>
    </row>
    <row r="581" ht="15.75" customHeight="1">
      <c r="A581" s="26"/>
      <c r="B581" s="26"/>
      <c r="E581" s="26"/>
    </row>
    <row r="582" ht="15.75" customHeight="1">
      <c r="A582" s="26"/>
      <c r="B582" s="26"/>
      <c r="E582" s="26"/>
    </row>
    <row r="583" ht="15.75" customHeight="1">
      <c r="A583" s="26"/>
      <c r="B583" s="26"/>
      <c r="E583" s="26"/>
    </row>
    <row r="584" ht="15.75" customHeight="1">
      <c r="A584" s="26"/>
      <c r="B584" s="26"/>
      <c r="E584" s="26"/>
    </row>
    <row r="585" ht="15.75" customHeight="1">
      <c r="A585" s="26"/>
      <c r="B585" s="26"/>
      <c r="E585" s="26"/>
    </row>
    <row r="586" ht="15.75" customHeight="1">
      <c r="A586" s="26"/>
      <c r="B586" s="26"/>
      <c r="E586" s="26"/>
    </row>
    <row r="587" ht="15.75" customHeight="1">
      <c r="A587" s="26"/>
      <c r="B587" s="26"/>
      <c r="E587" s="26"/>
    </row>
    <row r="588" ht="15.75" customHeight="1">
      <c r="A588" s="26"/>
      <c r="B588" s="26"/>
      <c r="E588" s="26"/>
    </row>
    <row r="589" ht="15.75" customHeight="1">
      <c r="A589" s="26"/>
      <c r="B589" s="26"/>
      <c r="E589" s="26"/>
    </row>
    <row r="590" ht="15.75" customHeight="1">
      <c r="A590" s="26"/>
      <c r="B590" s="26"/>
      <c r="E590" s="26"/>
    </row>
    <row r="591" ht="15.75" customHeight="1">
      <c r="A591" s="26"/>
      <c r="B591" s="26"/>
      <c r="E591" s="26"/>
    </row>
    <row r="592" ht="15.75" customHeight="1">
      <c r="A592" s="26"/>
      <c r="B592" s="26"/>
      <c r="E592" s="26"/>
    </row>
    <row r="593" ht="15.75" customHeight="1">
      <c r="A593" s="26"/>
      <c r="B593" s="26"/>
      <c r="E593" s="26"/>
    </row>
    <row r="594" ht="15.75" customHeight="1">
      <c r="A594" s="26"/>
      <c r="B594" s="26"/>
      <c r="E594" s="26"/>
    </row>
    <row r="595" ht="15.75" customHeight="1">
      <c r="A595" s="26"/>
      <c r="B595" s="26"/>
      <c r="E595" s="26"/>
    </row>
    <row r="596" ht="15.75" customHeight="1">
      <c r="A596" s="26"/>
      <c r="B596" s="26"/>
      <c r="E596" s="26"/>
    </row>
    <row r="597" ht="15.75" customHeight="1">
      <c r="A597" s="26"/>
      <c r="B597" s="26"/>
      <c r="E597" s="26"/>
    </row>
    <row r="598" ht="15.75" customHeight="1">
      <c r="A598" s="26"/>
      <c r="B598" s="26"/>
      <c r="E598" s="26"/>
    </row>
    <row r="599" ht="15.75" customHeight="1">
      <c r="A599" s="26"/>
      <c r="B599" s="26"/>
      <c r="E599" s="26"/>
    </row>
    <row r="600" ht="15.75" customHeight="1">
      <c r="A600" s="26"/>
      <c r="B600" s="26"/>
      <c r="E600" s="26"/>
    </row>
    <row r="601" ht="15.75" customHeight="1">
      <c r="A601" s="26"/>
      <c r="B601" s="26"/>
      <c r="E601" s="26"/>
    </row>
    <row r="602" ht="15.75" customHeight="1">
      <c r="A602" s="26"/>
      <c r="B602" s="26"/>
      <c r="E602" s="26"/>
    </row>
    <row r="603" ht="15.75" customHeight="1">
      <c r="A603" s="26"/>
      <c r="B603" s="26"/>
      <c r="E603" s="26"/>
    </row>
    <row r="604" ht="15.75" customHeight="1">
      <c r="A604" s="26"/>
      <c r="B604" s="26"/>
      <c r="E604" s="26"/>
    </row>
    <row r="605" ht="15.75" customHeight="1">
      <c r="A605" s="26"/>
      <c r="B605" s="26"/>
      <c r="E605" s="26"/>
    </row>
    <row r="606" ht="15.75" customHeight="1">
      <c r="A606" s="26"/>
      <c r="B606" s="26"/>
      <c r="E606" s="26"/>
    </row>
    <row r="607" ht="15.75" customHeight="1">
      <c r="A607" s="26"/>
      <c r="B607" s="26"/>
      <c r="E607" s="26"/>
    </row>
    <row r="608" ht="15.75" customHeight="1">
      <c r="A608" s="26"/>
      <c r="B608" s="26"/>
      <c r="E608" s="26"/>
    </row>
    <row r="609" ht="15.75" customHeight="1">
      <c r="A609" s="26"/>
      <c r="B609" s="26"/>
      <c r="E609" s="26"/>
    </row>
    <row r="610" ht="15.75" customHeight="1">
      <c r="A610" s="26"/>
      <c r="B610" s="26"/>
      <c r="E610" s="26"/>
    </row>
    <row r="611" ht="15.75" customHeight="1">
      <c r="A611" s="26"/>
      <c r="B611" s="26"/>
      <c r="E611" s="26"/>
    </row>
    <row r="612" ht="15.75" customHeight="1">
      <c r="A612" s="26"/>
      <c r="B612" s="26"/>
      <c r="E612" s="26"/>
    </row>
    <row r="613" ht="15.75" customHeight="1">
      <c r="A613" s="26"/>
      <c r="B613" s="26"/>
      <c r="E613" s="26"/>
    </row>
    <row r="614" ht="15.75" customHeight="1">
      <c r="A614" s="26"/>
      <c r="B614" s="26"/>
      <c r="E614" s="26"/>
    </row>
    <row r="615" ht="15.75" customHeight="1">
      <c r="A615" s="26"/>
      <c r="B615" s="26"/>
      <c r="E615" s="26"/>
    </row>
    <row r="616" ht="15.75" customHeight="1">
      <c r="A616" s="26"/>
      <c r="B616" s="26"/>
      <c r="E616" s="26"/>
    </row>
    <row r="617" ht="15.75" customHeight="1">
      <c r="A617" s="26"/>
      <c r="B617" s="26"/>
      <c r="E617" s="26"/>
    </row>
    <row r="618" ht="15.75" customHeight="1">
      <c r="A618" s="26"/>
      <c r="B618" s="26"/>
      <c r="E618" s="26"/>
    </row>
    <row r="619" ht="15.75" customHeight="1">
      <c r="A619" s="26"/>
      <c r="B619" s="26"/>
      <c r="E619" s="26"/>
    </row>
    <row r="620" ht="15.75" customHeight="1">
      <c r="A620" s="26"/>
      <c r="B620" s="26"/>
      <c r="E620" s="26"/>
    </row>
    <row r="621" ht="15.75" customHeight="1">
      <c r="A621" s="26"/>
      <c r="B621" s="26"/>
      <c r="E621" s="26"/>
    </row>
    <row r="622" ht="15.75" customHeight="1">
      <c r="A622" s="26"/>
      <c r="B622" s="26"/>
      <c r="E622" s="26"/>
    </row>
    <row r="623" ht="15.75" customHeight="1">
      <c r="A623" s="26"/>
      <c r="B623" s="26"/>
      <c r="E623" s="26"/>
    </row>
    <row r="624" ht="15.75" customHeight="1">
      <c r="A624" s="26"/>
      <c r="B624" s="26"/>
      <c r="E624" s="26"/>
    </row>
    <row r="625" ht="15.75" customHeight="1">
      <c r="A625" s="26"/>
      <c r="B625" s="26"/>
      <c r="E625" s="26"/>
    </row>
    <row r="626" ht="15.75" customHeight="1">
      <c r="A626" s="26"/>
      <c r="B626" s="26"/>
      <c r="E626" s="26"/>
    </row>
    <row r="627" ht="15.75" customHeight="1">
      <c r="A627" s="26"/>
      <c r="B627" s="26"/>
      <c r="E627" s="26"/>
    </row>
    <row r="628" ht="15.75" customHeight="1">
      <c r="A628" s="26"/>
      <c r="B628" s="26"/>
      <c r="E628" s="26"/>
    </row>
    <row r="629" ht="15.75" customHeight="1">
      <c r="A629" s="26"/>
      <c r="B629" s="26"/>
      <c r="E629" s="26"/>
    </row>
    <row r="630" ht="15.75" customHeight="1">
      <c r="A630" s="26"/>
      <c r="B630" s="26"/>
      <c r="E630" s="26"/>
    </row>
    <row r="631" ht="15.75" customHeight="1">
      <c r="A631" s="26"/>
      <c r="B631" s="26"/>
      <c r="E631" s="26"/>
    </row>
    <row r="632" ht="15.75" customHeight="1">
      <c r="A632" s="26"/>
      <c r="B632" s="26"/>
      <c r="E632" s="26"/>
    </row>
    <row r="633" ht="15.75" customHeight="1">
      <c r="A633" s="26"/>
      <c r="B633" s="26"/>
      <c r="E633" s="26"/>
    </row>
    <row r="634" ht="15.75" customHeight="1">
      <c r="A634" s="26"/>
      <c r="B634" s="26"/>
      <c r="E634" s="26"/>
    </row>
    <row r="635" ht="15.75" customHeight="1">
      <c r="A635" s="26"/>
      <c r="B635" s="26"/>
      <c r="E635" s="26"/>
    </row>
    <row r="636" ht="15.75" customHeight="1">
      <c r="A636" s="26"/>
      <c r="B636" s="26"/>
      <c r="E636" s="26"/>
    </row>
    <row r="637" ht="15.75" customHeight="1">
      <c r="A637" s="26"/>
      <c r="B637" s="26"/>
      <c r="E637" s="26"/>
    </row>
    <row r="638" ht="15.75" customHeight="1">
      <c r="A638" s="26"/>
      <c r="B638" s="26"/>
      <c r="E638" s="26"/>
    </row>
    <row r="639" ht="15.75" customHeight="1">
      <c r="A639" s="26"/>
      <c r="B639" s="26"/>
      <c r="E639" s="26"/>
    </row>
    <row r="640" ht="15.75" customHeight="1">
      <c r="A640" s="26"/>
      <c r="B640" s="26"/>
      <c r="E640" s="26"/>
    </row>
    <row r="641" ht="15.75" customHeight="1">
      <c r="A641" s="26"/>
      <c r="B641" s="26"/>
      <c r="E641" s="26"/>
    </row>
    <row r="642" ht="15.75" customHeight="1">
      <c r="A642" s="26"/>
      <c r="B642" s="26"/>
      <c r="E642" s="26"/>
    </row>
    <row r="643" ht="15.75" customHeight="1">
      <c r="A643" s="26"/>
      <c r="B643" s="26"/>
      <c r="E643" s="26"/>
    </row>
    <row r="644" ht="15.75" customHeight="1">
      <c r="A644" s="26"/>
      <c r="B644" s="26"/>
      <c r="E644" s="26"/>
    </row>
    <row r="645" ht="15.75" customHeight="1">
      <c r="A645" s="26"/>
      <c r="B645" s="26"/>
      <c r="E645" s="26"/>
    </row>
    <row r="646" ht="15.75" customHeight="1">
      <c r="A646" s="26"/>
      <c r="B646" s="26"/>
      <c r="E646" s="26"/>
    </row>
    <row r="647" ht="15.75" customHeight="1">
      <c r="A647" s="26"/>
      <c r="B647" s="26"/>
      <c r="E647" s="26"/>
    </row>
    <row r="648" ht="15.75" customHeight="1">
      <c r="A648" s="26"/>
      <c r="B648" s="26"/>
      <c r="E648" s="26"/>
    </row>
    <row r="649" ht="15.75" customHeight="1">
      <c r="A649" s="26"/>
      <c r="B649" s="26"/>
      <c r="E649" s="26"/>
    </row>
    <row r="650" ht="15.75" customHeight="1">
      <c r="A650" s="26"/>
      <c r="B650" s="26"/>
      <c r="E650" s="26"/>
    </row>
    <row r="651" ht="15.75" customHeight="1">
      <c r="A651" s="26"/>
      <c r="B651" s="26"/>
      <c r="E651" s="26"/>
    </row>
    <row r="652" ht="15.75" customHeight="1">
      <c r="A652" s="26"/>
      <c r="B652" s="26"/>
      <c r="E652" s="26"/>
    </row>
    <row r="653" ht="15.75" customHeight="1">
      <c r="A653" s="26"/>
      <c r="B653" s="26"/>
      <c r="E653" s="26"/>
    </row>
    <row r="654" ht="15.75" customHeight="1">
      <c r="A654" s="26"/>
      <c r="B654" s="26"/>
      <c r="E654" s="26"/>
    </row>
    <row r="655" ht="15.75" customHeight="1">
      <c r="A655" s="26"/>
      <c r="B655" s="26"/>
      <c r="E655" s="26"/>
    </row>
    <row r="656" ht="15.75" customHeight="1">
      <c r="A656" s="26"/>
      <c r="B656" s="26"/>
      <c r="E656" s="26"/>
    </row>
    <row r="657" ht="15.75" customHeight="1">
      <c r="A657" s="26"/>
      <c r="B657" s="26"/>
      <c r="E657" s="26"/>
    </row>
    <row r="658" ht="15.75" customHeight="1">
      <c r="A658" s="26"/>
      <c r="B658" s="26"/>
      <c r="E658" s="26"/>
    </row>
    <row r="659" ht="15.75" customHeight="1">
      <c r="A659" s="26"/>
      <c r="B659" s="26"/>
      <c r="E659" s="26"/>
    </row>
    <row r="660" ht="15.75" customHeight="1">
      <c r="A660" s="26"/>
      <c r="B660" s="26"/>
      <c r="E660" s="26"/>
    </row>
    <row r="661" ht="15.75" customHeight="1">
      <c r="A661" s="26"/>
      <c r="B661" s="26"/>
      <c r="E661" s="26"/>
    </row>
    <row r="662" ht="15.75" customHeight="1">
      <c r="A662" s="26"/>
      <c r="B662" s="26"/>
      <c r="E662" s="26"/>
    </row>
    <row r="663" ht="15.75" customHeight="1">
      <c r="A663" s="26"/>
      <c r="B663" s="26"/>
      <c r="E663" s="26"/>
    </row>
    <row r="664" ht="15.75" customHeight="1">
      <c r="A664" s="26"/>
      <c r="B664" s="26"/>
      <c r="E664" s="26"/>
    </row>
    <row r="665" ht="15.75" customHeight="1">
      <c r="A665" s="26"/>
      <c r="B665" s="26"/>
      <c r="E665" s="26"/>
    </row>
    <row r="666" ht="15.75" customHeight="1">
      <c r="A666" s="26"/>
      <c r="B666" s="26"/>
      <c r="E666" s="26"/>
    </row>
    <row r="667" ht="15.75" customHeight="1">
      <c r="A667" s="26"/>
      <c r="B667" s="26"/>
      <c r="E667" s="26"/>
    </row>
    <row r="668" ht="15.75" customHeight="1">
      <c r="A668" s="26"/>
      <c r="B668" s="26"/>
      <c r="E668" s="26"/>
    </row>
    <row r="669" ht="15.75" customHeight="1">
      <c r="A669" s="26"/>
      <c r="B669" s="26"/>
      <c r="E669" s="26"/>
    </row>
    <row r="670" ht="15.75" customHeight="1">
      <c r="A670" s="26"/>
      <c r="B670" s="26"/>
      <c r="E670" s="26"/>
    </row>
    <row r="671" ht="15.75" customHeight="1">
      <c r="A671" s="26"/>
      <c r="B671" s="26"/>
      <c r="E671" s="26"/>
    </row>
    <row r="672" ht="15.75" customHeight="1">
      <c r="A672" s="26"/>
      <c r="B672" s="26"/>
      <c r="E672" s="26"/>
    </row>
    <row r="673" ht="15.75" customHeight="1">
      <c r="A673" s="26"/>
      <c r="B673" s="26"/>
      <c r="E673" s="26"/>
    </row>
    <row r="674" ht="15.75" customHeight="1">
      <c r="A674" s="26"/>
      <c r="B674" s="26"/>
      <c r="E674" s="26"/>
    </row>
    <row r="675" ht="15.75" customHeight="1">
      <c r="A675" s="26"/>
      <c r="B675" s="26"/>
      <c r="E675" s="26"/>
    </row>
    <row r="676" ht="15.75" customHeight="1">
      <c r="A676" s="26"/>
      <c r="B676" s="26"/>
      <c r="E676" s="26"/>
    </row>
    <row r="677" ht="15.75" customHeight="1">
      <c r="A677" s="26"/>
      <c r="B677" s="26"/>
      <c r="E677" s="26"/>
    </row>
    <row r="678" ht="15.75" customHeight="1">
      <c r="A678" s="26"/>
      <c r="B678" s="26"/>
      <c r="E678" s="26"/>
    </row>
    <row r="679" ht="15.75" customHeight="1">
      <c r="A679" s="26"/>
      <c r="B679" s="26"/>
      <c r="E679" s="26"/>
    </row>
    <row r="680" ht="15.75" customHeight="1">
      <c r="A680" s="26"/>
      <c r="B680" s="26"/>
      <c r="E680" s="26"/>
    </row>
    <row r="681" ht="15.75" customHeight="1">
      <c r="A681" s="26"/>
      <c r="B681" s="26"/>
      <c r="E681" s="26"/>
    </row>
    <row r="682" ht="15.75" customHeight="1">
      <c r="A682" s="26"/>
      <c r="B682" s="26"/>
      <c r="E682" s="26"/>
    </row>
    <row r="683" ht="15.75" customHeight="1">
      <c r="A683" s="26"/>
      <c r="B683" s="26"/>
      <c r="E683" s="26"/>
    </row>
    <row r="684" ht="15.75" customHeight="1">
      <c r="A684" s="26"/>
      <c r="B684" s="26"/>
      <c r="E684" s="26"/>
    </row>
    <row r="685" ht="15.75" customHeight="1">
      <c r="A685" s="26"/>
      <c r="B685" s="26"/>
      <c r="E685" s="26"/>
    </row>
    <row r="686" ht="15.75" customHeight="1">
      <c r="A686" s="26"/>
      <c r="B686" s="26"/>
      <c r="E686" s="26"/>
    </row>
    <row r="687" ht="15.75" customHeight="1">
      <c r="A687" s="26"/>
      <c r="B687" s="26"/>
      <c r="E687" s="26"/>
    </row>
    <row r="688" ht="15.75" customHeight="1">
      <c r="A688" s="26"/>
      <c r="B688" s="26"/>
      <c r="E688" s="26"/>
    </row>
    <row r="689" ht="15.75" customHeight="1">
      <c r="A689" s="26"/>
      <c r="B689" s="26"/>
      <c r="E689" s="26"/>
    </row>
    <row r="690" ht="15.75" customHeight="1">
      <c r="A690" s="26"/>
      <c r="B690" s="26"/>
      <c r="E690" s="26"/>
    </row>
    <row r="691" ht="15.75" customHeight="1">
      <c r="A691" s="26"/>
      <c r="B691" s="26"/>
      <c r="E691" s="26"/>
    </row>
    <row r="692" ht="15.75" customHeight="1">
      <c r="A692" s="26"/>
      <c r="B692" s="26"/>
      <c r="E692" s="26"/>
    </row>
    <row r="693" ht="15.75" customHeight="1">
      <c r="A693" s="26"/>
      <c r="B693" s="26"/>
      <c r="E693" s="26"/>
    </row>
    <row r="694" ht="15.75" customHeight="1">
      <c r="A694" s="26"/>
      <c r="B694" s="26"/>
      <c r="E694" s="26"/>
    </row>
    <row r="695" ht="15.75" customHeight="1">
      <c r="A695" s="26"/>
      <c r="B695" s="26"/>
      <c r="E695" s="26"/>
    </row>
    <row r="696" ht="15.75" customHeight="1">
      <c r="A696" s="26"/>
      <c r="B696" s="26"/>
      <c r="E696" s="26"/>
    </row>
    <row r="697" ht="15.75" customHeight="1">
      <c r="A697" s="26"/>
      <c r="B697" s="26"/>
      <c r="E697" s="26"/>
    </row>
    <row r="698" ht="15.75" customHeight="1">
      <c r="A698" s="26"/>
      <c r="B698" s="26"/>
      <c r="E698" s="26"/>
    </row>
    <row r="699" ht="15.75" customHeight="1">
      <c r="A699" s="26"/>
      <c r="B699" s="26"/>
      <c r="E699" s="26"/>
    </row>
    <row r="700" ht="15.75" customHeight="1">
      <c r="A700" s="26"/>
      <c r="B700" s="26"/>
      <c r="E700" s="26"/>
    </row>
    <row r="701" ht="15.75" customHeight="1">
      <c r="A701" s="26"/>
      <c r="B701" s="26"/>
      <c r="E701" s="26"/>
    </row>
    <row r="702" ht="15.75" customHeight="1">
      <c r="A702" s="26"/>
      <c r="B702" s="26"/>
      <c r="E702" s="26"/>
    </row>
    <row r="703" ht="15.75" customHeight="1">
      <c r="A703" s="26"/>
      <c r="B703" s="26"/>
      <c r="E703" s="26"/>
    </row>
    <row r="704" ht="15.75" customHeight="1">
      <c r="A704" s="26"/>
      <c r="B704" s="26"/>
      <c r="E704" s="26"/>
    </row>
    <row r="705" ht="15.75" customHeight="1">
      <c r="A705" s="26"/>
      <c r="B705" s="26"/>
      <c r="E705" s="26"/>
    </row>
    <row r="706" ht="15.75" customHeight="1">
      <c r="A706" s="26"/>
      <c r="B706" s="26"/>
      <c r="E706" s="26"/>
    </row>
    <row r="707" ht="15.75" customHeight="1">
      <c r="A707" s="26"/>
      <c r="B707" s="26"/>
      <c r="E707" s="26"/>
    </row>
    <row r="708" ht="15.75" customHeight="1">
      <c r="A708" s="26"/>
      <c r="B708" s="26"/>
      <c r="E708" s="26"/>
    </row>
    <row r="709" ht="15.75" customHeight="1">
      <c r="A709" s="26"/>
      <c r="B709" s="26"/>
      <c r="E709" s="26"/>
    </row>
    <row r="710" ht="15.75" customHeight="1">
      <c r="A710" s="26"/>
      <c r="B710" s="26"/>
      <c r="E710" s="26"/>
    </row>
    <row r="711" ht="15.75" customHeight="1">
      <c r="A711" s="26"/>
      <c r="B711" s="26"/>
      <c r="E711" s="26"/>
    </row>
    <row r="712" ht="15.75" customHeight="1">
      <c r="A712" s="26"/>
      <c r="B712" s="26"/>
      <c r="E712" s="26"/>
    </row>
    <row r="713" ht="15.75" customHeight="1">
      <c r="A713" s="26"/>
      <c r="B713" s="26"/>
      <c r="E713" s="26"/>
    </row>
    <row r="714" ht="15.75" customHeight="1">
      <c r="A714" s="26"/>
      <c r="B714" s="26"/>
      <c r="E714" s="26"/>
    </row>
    <row r="715" ht="15.75" customHeight="1">
      <c r="A715" s="26"/>
      <c r="B715" s="26"/>
      <c r="E715" s="26"/>
    </row>
    <row r="716" ht="15.75" customHeight="1">
      <c r="A716" s="26"/>
      <c r="B716" s="26"/>
      <c r="E716" s="26"/>
    </row>
    <row r="717" ht="15.75" customHeight="1">
      <c r="A717" s="26"/>
      <c r="B717" s="26"/>
      <c r="E717" s="26"/>
    </row>
    <row r="718" ht="15.75" customHeight="1">
      <c r="A718" s="26"/>
      <c r="B718" s="26"/>
      <c r="E718" s="26"/>
    </row>
    <row r="719" ht="15.75" customHeight="1">
      <c r="A719" s="26"/>
      <c r="B719" s="26"/>
      <c r="E719" s="26"/>
    </row>
    <row r="720" ht="15.75" customHeight="1">
      <c r="A720" s="26"/>
      <c r="B720" s="26"/>
      <c r="E720" s="26"/>
    </row>
    <row r="721" ht="15.75" customHeight="1">
      <c r="A721" s="26"/>
      <c r="B721" s="26"/>
      <c r="E721" s="26"/>
    </row>
    <row r="722" ht="15.75" customHeight="1">
      <c r="A722" s="26"/>
      <c r="B722" s="26"/>
      <c r="E722" s="26"/>
    </row>
    <row r="723" ht="15.75" customHeight="1">
      <c r="A723" s="26"/>
      <c r="B723" s="26"/>
      <c r="E723" s="26"/>
    </row>
    <row r="724" ht="15.75" customHeight="1">
      <c r="A724" s="26"/>
      <c r="B724" s="26"/>
      <c r="E724" s="26"/>
    </row>
    <row r="725" ht="15.75" customHeight="1">
      <c r="A725" s="26"/>
      <c r="B725" s="26"/>
      <c r="E725" s="26"/>
    </row>
    <row r="726" ht="15.75" customHeight="1">
      <c r="A726" s="26"/>
      <c r="B726" s="26"/>
      <c r="E726" s="26"/>
    </row>
    <row r="727" ht="15.75" customHeight="1">
      <c r="A727" s="26"/>
      <c r="B727" s="26"/>
      <c r="E727" s="26"/>
    </row>
    <row r="728" ht="15.75" customHeight="1">
      <c r="A728" s="26"/>
      <c r="B728" s="26"/>
      <c r="E728" s="26"/>
    </row>
    <row r="729" ht="15.75" customHeight="1">
      <c r="A729" s="26"/>
      <c r="B729" s="26"/>
      <c r="E729" s="26"/>
    </row>
    <row r="730" ht="15.75" customHeight="1">
      <c r="A730" s="26"/>
      <c r="B730" s="26"/>
      <c r="E730" s="26"/>
    </row>
    <row r="731" ht="15.75" customHeight="1">
      <c r="A731" s="26"/>
      <c r="B731" s="26"/>
      <c r="E731" s="26"/>
    </row>
    <row r="732" ht="15.75" customHeight="1">
      <c r="A732" s="26"/>
      <c r="B732" s="26"/>
      <c r="E732" s="26"/>
    </row>
    <row r="733" ht="15.75" customHeight="1">
      <c r="A733" s="26"/>
      <c r="B733" s="26"/>
      <c r="E733" s="26"/>
    </row>
    <row r="734" ht="15.75" customHeight="1">
      <c r="A734" s="26"/>
      <c r="B734" s="26"/>
      <c r="E734" s="26"/>
    </row>
    <row r="735" ht="15.75" customHeight="1">
      <c r="A735" s="26"/>
      <c r="B735" s="26"/>
      <c r="E735" s="26"/>
    </row>
    <row r="736" ht="15.75" customHeight="1">
      <c r="A736" s="26"/>
      <c r="B736" s="26"/>
      <c r="E736" s="26"/>
    </row>
    <row r="737" ht="15.75" customHeight="1">
      <c r="A737" s="26"/>
      <c r="B737" s="26"/>
      <c r="E737" s="26"/>
    </row>
    <row r="738" ht="15.75" customHeight="1">
      <c r="A738" s="26"/>
      <c r="B738" s="26"/>
      <c r="E738" s="26"/>
    </row>
    <row r="739" ht="15.75" customHeight="1">
      <c r="A739" s="26"/>
      <c r="B739" s="26"/>
      <c r="E739" s="26"/>
    </row>
    <row r="740" ht="15.75" customHeight="1">
      <c r="A740" s="26"/>
      <c r="B740" s="26"/>
      <c r="E740" s="26"/>
    </row>
    <row r="741" ht="15.75" customHeight="1">
      <c r="A741" s="26"/>
      <c r="B741" s="26"/>
      <c r="E741" s="26"/>
    </row>
    <row r="742" ht="15.75" customHeight="1">
      <c r="A742" s="26"/>
      <c r="B742" s="26"/>
      <c r="E742" s="26"/>
    </row>
    <row r="743" ht="15.75" customHeight="1">
      <c r="A743" s="26"/>
      <c r="B743" s="26"/>
      <c r="E743" s="26"/>
    </row>
    <row r="744" ht="15.75" customHeight="1">
      <c r="A744" s="26"/>
      <c r="B744" s="26"/>
      <c r="E744" s="26"/>
    </row>
    <row r="745" ht="15.75" customHeight="1">
      <c r="A745" s="26"/>
      <c r="B745" s="26"/>
      <c r="E745" s="26"/>
    </row>
    <row r="746" ht="15.75" customHeight="1">
      <c r="A746" s="26"/>
      <c r="B746" s="26"/>
      <c r="E746" s="26"/>
    </row>
    <row r="747" ht="15.75" customHeight="1">
      <c r="A747" s="26"/>
      <c r="B747" s="26"/>
      <c r="E747" s="26"/>
    </row>
    <row r="748" ht="15.75" customHeight="1">
      <c r="A748" s="26"/>
      <c r="B748" s="26"/>
      <c r="E748" s="26"/>
    </row>
    <row r="749" ht="15.75" customHeight="1">
      <c r="A749" s="26"/>
      <c r="B749" s="26"/>
      <c r="E749" s="26"/>
    </row>
    <row r="750" ht="15.75" customHeight="1">
      <c r="A750" s="26"/>
      <c r="B750" s="26"/>
      <c r="E750" s="26"/>
    </row>
    <row r="751" ht="15.75" customHeight="1">
      <c r="A751" s="26"/>
      <c r="B751" s="26"/>
      <c r="E751" s="26"/>
    </row>
    <row r="752" ht="15.75" customHeight="1">
      <c r="A752" s="26"/>
      <c r="B752" s="26"/>
      <c r="E752" s="26"/>
    </row>
    <row r="753" ht="15.75" customHeight="1">
      <c r="A753" s="26"/>
      <c r="B753" s="26"/>
      <c r="E753" s="26"/>
    </row>
    <row r="754" ht="15.75" customHeight="1">
      <c r="A754" s="26"/>
      <c r="B754" s="26"/>
      <c r="E754" s="26"/>
    </row>
    <row r="755" ht="15.75" customHeight="1">
      <c r="A755" s="26"/>
      <c r="B755" s="26"/>
      <c r="E755" s="26"/>
    </row>
    <row r="756" ht="15.75" customHeight="1">
      <c r="A756" s="26"/>
      <c r="B756" s="26"/>
      <c r="E756" s="26"/>
    </row>
    <row r="757" ht="15.75" customHeight="1">
      <c r="A757" s="26"/>
      <c r="B757" s="26"/>
      <c r="E757" s="26"/>
    </row>
    <row r="758" ht="15.75" customHeight="1">
      <c r="A758" s="26"/>
      <c r="B758" s="26"/>
      <c r="E758" s="26"/>
    </row>
    <row r="759" ht="15.75" customHeight="1">
      <c r="A759" s="26"/>
      <c r="B759" s="26"/>
      <c r="E759" s="26"/>
    </row>
    <row r="760" ht="15.75" customHeight="1">
      <c r="A760" s="26"/>
      <c r="B760" s="26"/>
      <c r="E760" s="26"/>
    </row>
    <row r="761" ht="15.75" customHeight="1">
      <c r="A761" s="26"/>
      <c r="B761" s="26"/>
      <c r="E761" s="26"/>
    </row>
    <row r="762" ht="15.75" customHeight="1">
      <c r="A762" s="26"/>
      <c r="B762" s="26"/>
      <c r="E762" s="26"/>
    </row>
    <row r="763" ht="15.75" customHeight="1">
      <c r="A763" s="26"/>
      <c r="B763" s="26"/>
      <c r="E763" s="26"/>
    </row>
    <row r="764" ht="15.75" customHeight="1">
      <c r="A764" s="26"/>
      <c r="B764" s="26"/>
      <c r="E764" s="26"/>
    </row>
    <row r="765" ht="15.75" customHeight="1">
      <c r="A765" s="26"/>
      <c r="B765" s="26"/>
      <c r="E765" s="26"/>
    </row>
    <row r="766" ht="15.75" customHeight="1">
      <c r="A766" s="26"/>
      <c r="B766" s="26"/>
      <c r="E766" s="26"/>
    </row>
    <row r="767" ht="15.75" customHeight="1">
      <c r="A767" s="26"/>
      <c r="B767" s="26"/>
      <c r="E767" s="26"/>
    </row>
    <row r="768" ht="15.75" customHeight="1">
      <c r="A768" s="26"/>
      <c r="B768" s="26"/>
      <c r="E768" s="26"/>
    </row>
    <row r="769" ht="15.75" customHeight="1">
      <c r="A769" s="26"/>
      <c r="B769" s="26"/>
      <c r="E769" s="26"/>
    </row>
    <row r="770" ht="15.75" customHeight="1">
      <c r="A770" s="26"/>
      <c r="B770" s="26"/>
      <c r="E770" s="26"/>
    </row>
    <row r="771" ht="15.75" customHeight="1">
      <c r="A771" s="26"/>
      <c r="B771" s="26"/>
      <c r="E771" s="26"/>
    </row>
    <row r="772" ht="15.75" customHeight="1">
      <c r="A772" s="26"/>
      <c r="B772" s="26"/>
      <c r="E772" s="26"/>
    </row>
    <row r="773" ht="15.75" customHeight="1">
      <c r="A773" s="26"/>
      <c r="B773" s="26"/>
      <c r="E773" s="26"/>
    </row>
    <row r="774" ht="15.75" customHeight="1">
      <c r="A774" s="26"/>
      <c r="B774" s="26"/>
      <c r="E774" s="26"/>
    </row>
    <row r="775" ht="15.75" customHeight="1">
      <c r="A775" s="26"/>
      <c r="B775" s="26"/>
      <c r="E775" s="26"/>
    </row>
    <row r="776" ht="15.75" customHeight="1">
      <c r="A776" s="26"/>
      <c r="B776" s="26"/>
      <c r="E776" s="26"/>
    </row>
    <row r="777" ht="15.75" customHeight="1">
      <c r="A777" s="26"/>
      <c r="B777" s="26"/>
      <c r="E777" s="26"/>
    </row>
    <row r="778" ht="15.75" customHeight="1">
      <c r="A778" s="26"/>
      <c r="B778" s="26"/>
      <c r="E778" s="26"/>
    </row>
    <row r="779" ht="15.75" customHeight="1">
      <c r="A779" s="26"/>
      <c r="B779" s="26"/>
      <c r="E779" s="26"/>
    </row>
    <row r="780" ht="15.75" customHeight="1">
      <c r="A780" s="26"/>
      <c r="B780" s="26"/>
      <c r="E780" s="26"/>
    </row>
    <row r="781" ht="15.75" customHeight="1">
      <c r="A781" s="26"/>
      <c r="B781" s="26"/>
      <c r="E781" s="26"/>
    </row>
    <row r="782" ht="15.75" customHeight="1">
      <c r="A782" s="26"/>
      <c r="B782" s="26"/>
      <c r="E782" s="26"/>
    </row>
    <row r="783" ht="15.75" customHeight="1">
      <c r="A783" s="26"/>
      <c r="B783" s="26"/>
      <c r="E783" s="26"/>
    </row>
    <row r="784" ht="15.75" customHeight="1">
      <c r="A784" s="26"/>
      <c r="B784" s="26"/>
      <c r="E784" s="26"/>
    </row>
    <row r="785" ht="15.75" customHeight="1">
      <c r="A785" s="26"/>
      <c r="B785" s="26"/>
      <c r="E785" s="26"/>
    </row>
    <row r="786" ht="15.75" customHeight="1">
      <c r="A786" s="26"/>
      <c r="B786" s="26"/>
      <c r="E786" s="26"/>
    </row>
    <row r="787" ht="15.75" customHeight="1">
      <c r="A787" s="26"/>
      <c r="B787" s="26"/>
      <c r="E787" s="26"/>
    </row>
    <row r="788" ht="15.75" customHeight="1">
      <c r="A788" s="26"/>
      <c r="B788" s="26"/>
      <c r="E788" s="26"/>
    </row>
    <row r="789" ht="15.75" customHeight="1">
      <c r="A789" s="26"/>
      <c r="B789" s="26"/>
      <c r="E789" s="26"/>
    </row>
    <row r="790" ht="15.75" customHeight="1">
      <c r="A790" s="26"/>
      <c r="B790" s="26"/>
      <c r="E790" s="26"/>
    </row>
    <row r="791" ht="15.75" customHeight="1">
      <c r="A791" s="26"/>
      <c r="B791" s="26"/>
      <c r="E791" s="26"/>
    </row>
    <row r="792" ht="15.75" customHeight="1">
      <c r="A792" s="26"/>
      <c r="B792" s="26"/>
      <c r="E792" s="26"/>
    </row>
    <row r="793" ht="15.75" customHeight="1">
      <c r="A793" s="26"/>
      <c r="B793" s="26"/>
      <c r="E793" s="26"/>
    </row>
    <row r="794" ht="15.75" customHeight="1">
      <c r="A794" s="26"/>
      <c r="B794" s="26"/>
      <c r="E794" s="26"/>
    </row>
    <row r="795" ht="15.75" customHeight="1">
      <c r="A795" s="26"/>
      <c r="B795" s="26"/>
      <c r="E795" s="26"/>
    </row>
    <row r="796" ht="15.75" customHeight="1">
      <c r="A796" s="26"/>
      <c r="B796" s="26"/>
      <c r="E796" s="26"/>
    </row>
    <row r="797" ht="15.75" customHeight="1">
      <c r="A797" s="26"/>
      <c r="B797" s="26"/>
      <c r="E797" s="26"/>
    </row>
    <row r="798" ht="15.75" customHeight="1">
      <c r="A798" s="26"/>
      <c r="B798" s="26"/>
      <c r="E798" s="26"/>
    </row>
    <row r="799" ht="15.75" customHeight="1">
      <c r="A799" s="26"/>
      <c r="B799" s="26"/>
      <c r="E799" s="26"/>
    </row>
    <row r="800" ht="15.75" customHeight="1">
      <c r="A800" s="26"/>
      <c r="B800" s="26"/>
      <c r="E800" s="26"/>
    </row>
    <row r="801" ht="15.75" customHeight="1">
      <c r="A801" s="26"/>
      <c r="B801" s="26"/>
      <c r="E801" s="26"/>
    </row>
    <row r="802" ht="15.75" customHeight="1">
      <c r="A802" s="26"/>
      <c r="B802" s="26"/>
      <c r="E802" s="26"/>
    </row>
    <row r="803" ht="15.75" customHeight="1">
      <c r="A803" s="26"/>
      <c r="B803" s="26"/>
      <c r="E803" s="26"/>
    </row>
    <row r="804" ht="15.75" customHeight="1">
      <c r="A804" s="26"/>
      <c r="B804" s="26"/>
      <c r="E804" s="26"/>
    </row>
    <row r="805" ht="15.75" customHeight="1">
      <c r="A805" s="26"/>
      <c r="B805" s="26"/>
      <c r="E805" s="26"/>
    </row>
    <row r="806" ht="15.75" customHeight="1">
      <c r="A806" s="26"/>
      <c r="B806" s="26"/>
      <c r="E806" s="26"/>
    </row>
    <row r="807" ht="15.75" customHeight="1">
      <c r="A807" s="26"/>
      <c r="B807" s="26"/>
      <c r="E807" s="26"/>
    </row>
    <row r="808" ht="15.75" customHeight="1">
      <c r="A808" s="26"/>
      <c r="B808" s="26"/>
      <c r="E808" s="26"/>
    </row>
    <row r="809" ht="15.75" customHeight="1">
      <c r="A809" s="26"/>
      <c r="B809" s="26"/>
      <c r="E809" s="26"/>
    </row>
    <row r="810" ht="15.75" customHeight="1">
      <c r="A810" s="26"/>
      <c r="B810" s="26"/>
      <c r="E810" s="26"/>
    </row>
    <row r="811" ht="15.75" customHeight="1">
      <c r="A811" s="26"/>
      <c r="B811" s="26"/>
      <c r="E811" s="26"/>
    </row>
    <row r="812" ht="15.75" customHeight="1">
      <c r="A812" s="26"/>
      <c r="B812" s="26"/>
      <c r="E812" s="26"/>
    </row>
    <row r="813" ht="15.75" customHeight="1">
      <c r="A813" s="26"/>
      <c r="B813" s="26"/>
      <c r="E813" s="26"/>
    </row>
    <row r="814" ht="15.75" customHeight="1">
      <c r="A814" s="26"/>
      <c r="B814" s="26"/>
      <c r="E814" s="26"/>
    </row>
    <row r="815" ht="15.75" customHeight="1">
      <c r="A815" s="26"/>
      <c r="B815" s="26"/>
      <c r="E815" s="26"/>
    </row>
    <row r="816" ht="15.75" customHeight="1">
      <c r="A816" s="26"/>
      <c r="B816" s="26"/>
      <c r="E816" s="26"/>
    </row>
    <row r="817" ht="15.75" customHeight="1">
      <c r="A817" s="26"/>
      <c r="B817" s="26"/>
      <c r="E817" s="26"/>
    </row>
    <row r="818" ht="15.75" customHeight="1">
      <c r="A818" s="26"/>
      <c r="B818" s="26"/>
      <c r="E818" s="26"/>
    </row>
    <row r="819" ht="15.75" customHeight="1">
      <c r="A819" s="26"/>
      <c r="B819" s="26"/>
      <c r="E819" s="26"/>
    </row>
    <row r="820" ht="15.75" customHeight="1">
      <c r="A820" s="26"/>
      <c r="B820" s="26"/>
      <c r="E820" s="26"/>
    </row>
    <row r="821" ht="15.75" customHeight="1">
      <c r="A821" s="26"/>
      <c r="B821" s="26"/>
      <c r="E821" s="26"/>
    </row>
    <row r="822" ht="15.75" customHeight="1">
      <c r="A822" s="26"/>
      <c r="B822" s="26"/>
      <c r="E822" s="26"/>
    </row>
    <row r="823" ht="15.75" customHeight="1">
      <c r="A823" s="26"/>
      <c r="B823" s="26"/>
      <c r="E823" s="26"/>
    </row>
    <row r="824" ht="15.75" customHeight="1">
      <c r="A824" s="26"/>
      <c r="B824" s="26"/>
      <c r="E824" s="26"/>
    </row>
    <row r="825" ht="15.75" customHeight="1">
      <c r="A825" s="26"/>
      <c r="B825" s="26"/>
      <c r="E825" s="26"/>
    </row>
    <row r="826" ht="15.75" customHeight="1">
      <c r="A826" s="26"/>
      <c r="B826" s="26"/>
      <c r="E826" s="26"/>
    </row>
    <row r="827" ht="15.75" customHeight="1">
      <c r="A827" s="26"/>
      <c r="B827" s="26"/>
      <c r="E827" s="26"/>
    </row>
    <row r="828" ht="15.75" customHeight="1">
      <c r="A828" s="26"/>
      <c r="B828" s="26"/>
      <c r="E828" s="26"/>
    </row>
    <row r="829" ht="15.75" customHeight="1">
      <c r="A829" s="26"/>
      <c r="B829" s="26"/>
      <c r="E829" s="26"/>
    </row>
    <row r="830" ht="15.75" customHeight="1">
      <c r="A830" s="26"/>
      <c r="B830" s="26"/>
      <c r="E830" s="26"/>
    </row>
    <row r="831" ht="15.75" customHeight="1">
      <c r="A831" s="26"/>
      <c r="B831" s="26"/>
      <c r="E831" s="26"/>
    </row>
    <row r="832" ht="15.75" customHeight="1">
      <c r="A832" s="26"/>
      <c r="B832" s="26"/>
      <c r="E832" s="26"/>
    </row>
    <row r="833" ht="15.75" customHeight="1">
      <c r="A833" s="26"/>
      <c r="B833" s="26"/>
      <c r="E833" s="26"/>
    </row>
    <row r="834" ht="15.75" customHeight="1">
      <c r="A834" s="26"/>
      <c r="B834" s="26"/>
      <c r="E834" s="26"/>
    </row>
    <row r="835" ht="15.75" customHeight="1">
      <c r="A835" s="26"/>
      <c r="B835" s="26"/>
      <c r="E835" s="26"/>
    </row>
    <row r="836" ht="15.75" customHeight="1">
      <c r="A836" s="26"/>
      <c r="B836" s="26"/>
      <c r="E836" s="26"/>
    </row>
    <row r="837" ht="15.75" customHeight="1">
      <c r="A837" s="26"/>
      <c r="B837" s="26"/>
      <c r="E837" s="26"/>
    </row>
    <row r="838" ht="15.75" customHeight="1">
      <c r="A838" s="26"/>
      <c r="B838" s="26"/>
      <c r="E838" s="26"/>
    </row>
    <row r="839" ht="15.75" customHeight="1">
      <c r="A839" s="26"/>
      <c r="B839" s="26"/>
      <c r="E839" s="26"/>
    </row>
    <row r="840" ht="15.75" customHeight="1">
      <c r="A840" s="26"/>
      <c r="B840" s="26"/>
      <c r="E840" s="26"/>
    </row>
    <row r="841" ht="15.75" customHeight="1">
      <c r="A841" s="26"/>
      <c r="B841" s="26"/>
      <c r="E841" s="26"/>
    </row>
    <row r="842" ht="15.75" customHeight="1">
      <c r="A842" s="26"/>
      <c r="B842" s="26"/>
      <c r="E842" s="26"/>
    </row>
    <row r="843" ht="15.75" customHeight="1">
      <c r="A843" s="26"/>
      <c r="B843" s="26"/>
      <c r="E843" s="26"/>
    </row>
    <row r="844" ht="15.75" customHeight="1">
      <c r="A844" s="26"/>
      <c r="B844" s="26"/>
      <c r="E844" s="26"/>
    </row>
    <row r="845" ht="15.75" customHeight="1">
      <c r="A845" s="26"/>
      <c r="B845" s="26"/>
      <c r="E845" s="26"/>
    </row>
    <row r="846" ht="15.75" customHeight="1">
      <c r="A846" s="26"/>
      <c r="B846" s="26"/>
      <c r="E846" s="26"/>
    </row>
    <row r="847" ht="15.75" customHeight="1">
      <c r="A847" s="26"/>
      <c r="B847" s="26"/>
      <c r="E847" s="26"/>
    </row>
    <row r="848" ht="15.75" customHeight="1">
      <c r="A848" s="26"/>
      <c r="B848" s="26"/>
      <c r="E848" s="26"/>
    </row>
    <row r="849" ht="15.75" customHeight="1">
      <c r="A849" s="26"/>
      <c r="B849" s="26"/>
      <c r="E849" s="26"/>
    </row>
    <row r="850" ht="15.75" customHeight="1">
      <c r="A850" s="26"/>
      <c r="B850" s="26"/>
      <c r="E850" s="26"/>
    </row>
    <row r="851" ht="15.75" customHeight="1">
      <c r="A851" s="26"/>
      <c r="B851" s="26"/>
      <c r="E851" s="26"/>
    </row>
    <row r="852" ht="15.75" customHeight="1">
      <c r="A852" s="26"/>
      <c r="B852" s="26"/>
      <c r="E852" s="26"/>
    </row>
    <row r="853" ht="15.75" customHeight="1">
      <c r="A853" s="26"/>
      <c r="B853" s="26"/>
      <c r="E853" s="26"/>
    </row>
    <row r="854" ht="15.75" customHeight="1">
      <c r="A854" s="26"/>
      <c r="B854" s="26"/>
      <c r="E854" s="26"/>
    </row>
    <row r="855" ht="15.75" customHeight="1">
      <c r="A855" s="26"/>
      <c r="B855" s="26"/>
      <c r="E855" s="26"/>
    </row>
    <row r="856" ht="15.75" customHeight="1">
      <c r="A856" s="26"/>
      <c r="B856" s="26"/>
      <c r="E856" s="26"/>
    </row>
    <row r="857" ht="15.75" customHeight="1">
      <c r="A857" s="26"/>
      <c r="B857" s="26"/>
      <c r="E857" s="26"/>
    </row>
    <row r="858" ht="15.75" customHeight="1">
      <c r="A858" s="26"/>
      <c r="B858" s="26"/>
      <c r="E858" s="26"/>
    </row>
    <row r="859" ht="15.75" customHeight="1">
      <c r="A859" s="26"/>
      <c r="B859" s="26"/>
      <c r="E859" s="26"/>
    </row>
    <row r="860" ht="15.75" customHeight="1">
      <c r="A860" s="26"/>
      <c r="B860" s="26"/>
      <c r="E860" s="26"/>
    </row>
    <row r="861" ht="15.75" customHeight="1">
      <c r="A861" s="26"/>
      <c r="B861" s="26"/>
      <c r="E861" s="26"/>
    </row>
    <row r="862" ht="15.75" customHeight="1">
      <c r="A862" s="26"/>
      <c r="B862" s="26"/>
      <c r="E862" s="26"/>
    </row>
    <row r="863" ht="15.75" customHeight="1">
      <c r="A863" s="26"/>
      <c r="B863" s="26"/>
      <c r="E863" s="26"/>
    </row>
    <row r="864" ht="15.75" customHeight="1">
      <c r="A864" s="26"/>
      <c r="B864" s="26"/>
      <c r="E864" s="26"/>
    </row>
    <row r="865" ht="15.75" customHeight="1">
      <c r="A865" s="26"/>
      <c r="B865" s="26"/>
      <c r="E865" s="26"/>
    </row>
    <row r="866" ht="15.75" customHeight="1">
      <c r="A866" s="26"/>
      <c r="B866" s="26"/>
      <c r="E866" s="26"/>
    </row>
    <row r="867" ht="15.75" customHeight="1">
      <c r="A867" s="26"/>
      <c r="B867" s="26"/>
      <c r="E867" s="26"/>
    </row>
    <row r="868" ht="15.75" customHeight="1">
      <c r="A868" s="26"/>
      <c r="B868" s="26"/>
      <c r="E868" s="26"/>
    </row>
    <row r="869" ht="15.75" customHeight="1">
      <c r="A869" s="26"/>
      <c r="B869" s="26"/>
      <c r="E869" s="26"/>
    </row>
    <row r="870" ht="15.75" customHeight="1">
      <c r="A870" s="26"/>
      <c r="B870" s="26"/>
      <c r="E870" s="26"/>
    </row>
    <row r="871" ht="15.75" customHeight="1">
      <c r="A871" s="26"/>
      <c r="B871" s="26"/>
      <c r="E871" s="26"/>
    </row>
    <row r="872" ht="15.75" customHeight="1">
      <c r="A872" s="26"/>
      <c r="B872" s="26"/>
      <c r="E872" s="26"/>
    </row>
    <row r="873" ht="15.75" customHeight="1">
      <c r="A873" s="26"/>
      <c r="B873" s="26"/>
      <c r="E873" s="26"/>
    </row>
    <row r="874" ht="15.75" customHeight="1">
      <c r="A874" s="26"/>
      <c r="B874" s="26"/>
      <c r="E874" s="26"/>
    </row>
    <row r="875" ht="15.75" customHeight="1">
      <c r="A875" s="26"/>
      <c r="B875" s="26"/>
      <c r="E875" s="26"/>
    </row>
    <row r="876" ht="15.75" customHeight="1">
      <c r="A876" s="26"/>
      <c r="B876" s="26"/>
      <c r="E876" s="26"/>
    </row>
    <row r="877" ht="15.75" customHeight="1">
      <c r="A877" s="26"/>
      <c r="B877" s="26"/>
      <c r="E877" s="26"/>
    </row>
    <row r="878" ht="15.75" customHeight="1">
      <c r="A878" s="26"/>
      <c r="B878" s="26"/>
      <c r="E878" s="26"/>
    </row>
    <row r="879" ht="15.75" customHeight="1">
      <c r="A879" s="26"/>
      <c r="B879" s="26"/>
      <c r="E879" s="26"/>
    </row>
    <row r="880" ht="15.75" customHeight="1">
      <c r="A880" s="26"/>
      <c r="B880" s="26"/>
      <c r="E880" s="26"/>
    </row>
    <row r="881" ht="15.75" customHeight="1">
      <c r="A881" s="26"/>
      <c r="B881" s="26"/>
      <c r="E881" s="26"/>
    </row>
    <row r="882" ht="15.75" customHeight="1">
      <c r="A882" s="26"/>
      <c r="B882" s="26"/>
      <c r="E882" s="26"/>
    </row>
    <row r="883" ht="15.75" customHeight="1">
      <c r="A883" s="26"/>
      <c r="B883" s="26"/>
      <c r="E883" s="26"/>
    </row>
    <row r="884" ht="15.75" customHeight="1">
      <c r="A884" s="26"/>
      <c r="B884" s="26"/>
      <c r="E884" s="26"/>
    </row>
    <row r="885" ht="15.75" customHeight="1">
      <c r="A885" s="26"/>
      <c r="B885" s="26"/>
      <c r="E885" s="26"/>
    </row>
    <row r="886" ht="15.75" customHeight="1">
      <c r="A886" s="26"/>
      <c r="B886" s="26"/>
      <c r="E886" s="26"/>
    </row>
    <row r="887" ht="15.75" customHeight="1">
      <c r="A887" s="26"/>
      <c r="B887" s="26"/>
      <c r="E887" s="26"/>
    </row>
    <row r="888" ht="15.75" customHeight="1">
      <c r="A888" s="26"/>
      <c r="B888" s="26"/>
      <c r="E888" s="26"/>
    </row>
    <row r="889" ht="15.75" customHeight="1">
      <c r="A889" s="26"/>
      <c r="B889" s="26"/>
      <c r="E889" s="26"/>
    </row>
    <row r="890" ht="15.75" customHeight="1">
      <c r="A890" s="26"/>
      <c r="B890" s="26"/>
      <c r="E890" s="26"/>
    </row>
    <row r="891" ht="15.75" customHeight="1">
      <c r="A891" s="26"/>
      <c r="B891" s="26"/>
      <c r="E891" s="26"/>
    </row>
    <row r="892" ht="15.75" customHeight="1">
      <c r="A892" s="26"/>
      <c r="B892" s="26"/>
      <c r="E892" s="26"/>
    </row>
    <row r="893" ht="15.75" customHeight="1">
      <c r="A893" s="26"/>
      <c r="B893" s="26"/>
      <c r="E893" s="26"/>
    </row>
    <row r="894" ht="15.75" customHeight="1">
      <c r="A894" s="26"/>
      <c r="B894" s="26"/>
      <c r="E894" s="26"/>
    </row>
    <row r="895" ht="15.75" customHeight="1">
      <c r="A895" s="26"/>
      <c r="B895" s="26"/>
      <c r="E895" s="26"/>
    </row>
    <row r="896" ht="15.75" customHeight="1">
      <c r="A896" s="26"/>
      <c r="B896" s="26"/>
      <c r="E896" s="26"/>
    </row>
    <row r="897" ht="15.75" customHeight="1">
      <c r="A897" s="26"/>
      <c r="B897" s="26"/>
      <c r="E897" s="26"/>
    </row>
    <row r="898" ht="15.75" customHeight="1">
      <c r="A898" s="26"/>
      <c r="B898" s="26"/>
      <c r="E898" s="26"/>
    </row>
    <row r="899" ht="15.75" customHeight="1">
      <c r="A899" s="26"/>
      <c r="B899" s="26"/>
      <c r="E899" s="26"/>
    </row>
    <row r="900" ht="15.75" customHeight="1">
      <c r="A900" s="26"/>
      <c r="B900" s="26"/>
      <c r="E900" s="26"/>
    </row>
    <row r="901" ht="15.75" customHeight="1">
      <c r="A901" s="26"/>
      <c r="B901" s="26"/>
      <c r="E901" s="26"/>
    </row>
    <row r="902" ht="15.75" customHeight="1">
      <c r="A902" s="26"/>
      <c r="B902" s="26"/>
      <c r="E902" s="26"/>
    </row>
    <row r="903" ht="15.75" customHeight="1">
      <c r="A903" s="26"/>
      <c r="B903" s="26"/>
      <c r="E903" s="26"/>
    </row>
    <row r="904" ht="15.75" customHeight="1">
      <c r="A904" s="26"/>
      <c r="B904" s="26"/>
      <c r="E904" s="26"/>
    </row>
    <row r="905" ht="15.75" customHeight="1">
      <c r="A905" s="26"/>
      <c r="B905" s="26"/>
      <c r="E905" s="26"/>
    </row>
    <row r="906" ht="15.75" customHeight="1">
      <c r="A906" s="26"/>
      <c r="B906" s="26"/>
      <c r="E906" s="26"/>
    </row>
    <row r="907" ht="15.75" customHeight="1">
      <c r="A907" s="26"/>
      <c r="B907" s="26"/>
      <c r="E907" s="26"/>
    </row>
    <row r="908" ht="15.75" customHeight="1">
      <c r="A908" s="26"/>
      <c r="B908" s="26"/>
      <c r="E908" s="26"/>
    </row>
    <row r="909" ht="15.75" customHeight="1">
      <c r="A909" s="26"/>
      <c r="B909" s="26"/>
      <c r="E909" s="26"/>
    </row>
    <row r="910" ht="15.75" customHeight="1">
      <c r="A910" s="26"/>
      <c r="B910" s="26"/>
      <c r="E910" s="26"/>
    </row>
    <row r="911" ht="15.75" customHeight="1">
      <c r="A911" s="26"/>
      <c r="B911" s="26"/>
      <c r="E911" s="26"/>
    </row>
    <row r="912" ht="15.75" customHeight="1">
      <c r="A912" s="26"/>
      <c r="B912" s="26"/>
      <c r="E912" s="26"/>
    </row>
    <row r="913" ht="15.75" customHeight="1">
      <c r="A913" s="26"/>
      <c r="B913" s="26"/>
      <c r="E913" s="26"/>
    </row>
    <row r="914" ht="15.75" customHeight="1">
      <c r="A914" s="26"/>
      <c r="B914" s="26"/>
      <c r="E914" s="26"/>
    </row>
    <row r="915" ht="15.75" customHeight="1">
      <c r="A915" s="26"/>
      <c r="B915" s="26"/>
      <c r="E915" s="26"/>
    </row>
    <row r="916" ht="15.75" customHeight="1">
      <c r="A916" s="26"/>
      <c r="B916" s="26"/>
      <c r="E916" s="26"/>
    </row>
    <row r="917" ht="15.75" customHeight="1">
      <c r="A917" s="26"/>
      <c r="B917" s="26"/>
      <c r="E917" s="26"/>
    </row>
    <row r="918" ht="15.75" customHeight="1">
      <c r="A918" s="26"/>
      <c r="B918" s="26"/>
      <c r="E918" s="26"/>
    </row>
    <row r="919" ht="15.75" customHeight="1">
      <c r="A919" s="26"/>
      <c r="B919" s="26"/>
      <c r="E919" s="26"/>
    </row>
    <row r="920" ht="15.75" customHeight="1">
      <c r="A920" s="26"/>
      <c r="B920" s="26"/>
      <c r="E920" s="26"/>
    </row>
    <row r="921" ht="15.75" customHeight="1">
      <c r="A921" s="26"/>
      <c r="B921" s="26"/>
      <c r="E921" s="26"/>
    </row>
    <row r="922" ht="15.75" customHeight="1">
      <c r="A922" s="26"/>
      <c r="B922" s="26"/>
      <c r="E922" s="26"/>
    </row>
    <row r="923" ht="15.75" customHeight="1">
      <c r="A923" s="26"/>
      <c r="B923" s="26"/>
      <c r="E923" s="26"/>
    </row>
    <row r="924" ht="15.75" customHeight="1">
      <c r="A924" s="26"/>
      <c r="B924" s="26"/>
      <c r="E924" s="26"/>
    </row>
    <row r="925" ht="15.75" customHeight="1">
      <c r="A925" s="26"/>
      <c r="B925" s="26"/>
      <c r="E925" s="26"/>
    </row>
    <row r="926" ht="15.75" customHeight="1">
      <c r="A926" s="26"/>
      <c r="B926" s="26"/>
      <c r="E926" s="26"/>
    </row>
    <row r="927" ht="15.75" customHeight="1">
      <c r="A927" s="26"/>
      <c r="B927" s="26"/>
      <c r="E927" s="26"/>
    </row>
    <row r="928" ht="15.75" customHeight="1">
      <c r="A928" s="26"/>
      <c r="B928" s="26"/>
      <c r="E928" s="26"/>
    </row>
    <row r="929" ht="15.75" customHeight="1">
      <c r="A929" s="26"/>
      <c r="B929" s="26"/>
      <c r="E929" s="26"/>
    </row>
    <row r="930" ht="15.75" customHeight="1">
      <c r="A930" s="26"/>
      <c r="B930" s="26"/>
      <c r="E930" s="26"/>
    </row>
    <row r="931" ht="15.75" customHeight="1">
      <c r="A931" s="26"/>
      <c r="B931" s="26"/>
      <c r="E931" s="26"/>
    </row>
    <row r="932" ht="15.75" customHeight="1">
      <c r="A932" s="26"/>
      <c r="B932" s="26"/>
      <c r="E932" s="26"/>
    </row>
    <row r="933" ht="15.75" customHeight="1">
      <c r="A933" s="26"/>
      <c r="B933" s="26"/>
      <c r="E933" s="26"/>
    </row>
    <row r="934" ht="15.75" customHeight="1">
      <c r="A934" s="26"/>
      <c r="B934" s="26"/>
      <c r="E934" s="26"/>
    </row>
    <row r="935" ht="15.75" customHeight="1">
      <c r="A935" s="26"/>
      <c r="B935" s="26"/>
      <c r="E935" s="26"/>
    </row>
    <row r="936" ht="15.75" customHeight="1">
      <c r="A936" s="26"/>
      <c r="B936" s="26"/>
      <c r="E936" s="26"/>
    </row>
    <row r="937" ht="15.75" customHeight="1">
      <c r="A937" s="26"/>
      <c r="B937" s="26"/>
      <c r="E937" s="26"/>
    </row>
    <row r="938" ht="15.75" customHeight="1">
      <c r="A938" s="26"/>
      <c r="B938" s="26"/>
      <c r="E938" s="26"/>
    </row>
    <row r="939" ht="15.75" customHeight="1">
      <c r="A939" s="26"/>
      <c r="B939" s="26"/>
      <c r="E939" s="26"/>
    </row>
    <row r="940" ht="15.75" customHeight="1">
      <c r="A940" s="26"/>
      <c r="B940" s="26"/>
      <c r="E940" s="26"/>
    </row>
    <row r="941" ht="15.75" customHeight="1">
      <c r="A941" s="26"/>
      <c r="B941" s="26"/>
      <c r="E941" s="26"/>
    </row>
    <row r="942" ht="15.75" customHeight="1">
      <c r="A942" s="26"/>
      <c r="B942" s="26"/>
      <c r="E942" s="26"/>
    </row>
    <row r="943" ht="15.75" customHeight="1">
      <c r="A943" s="26"/>
      <c r="B943" s="26"/>
      <c r="E943" s="26"/>
    </row>
    <row r="944" ht="15.75" customHeight="1">
      <c r="A944" s="26"/>
      <c r="B944" s="26"/>
      <c r="E944" s="26"/>
    </row>
    <row r="945" ht="15.75" customHeight="1">
      <c r="A945" s="26"/>
      <c r="B945" s="26"/>
      <c r="E945" s="26"/>
    </row>
    <row r="946" ht="15.75" customHeight="1">
      <c r="A946" s="26"/>
      <c r="B946" s="26"/>
      <c r="E946" s="26"/>
    </row>
    <row r="947" ht="15.75" customHeight="1">
      <c r="A947" s="26"/>
      <c r="B947" s="26"/>
      <c r="E947" s="26"/>
    </row>
    <row r="948" ht="15.75" customHeight="1">
      <c r="A948" s="26"/>
      <c r="B948" s="26"/>
      <c r="E948" s="26"/>
    </row>
    <row r="949" ht="15.75" customHeight="1">
      <c r="A949" s="26"/>
      <c r="B949" s="26"/>
      <c r="E949" s="26"/>
    </row>
    <row r="950" ht="15.75" customHeight="1">
      <c r="A950" s="26"/>
      <c r="B950" s="26"/>
      <c r="E950" s="26"/>
    </row>
    <row r="951" ht="15.75" customHeight="1">
      <c r="A951" s="26"/>
      <c r="B951" s="26"/>
      <c r="E951" s="26"/>
    </row>
    <row r="952" ht="15.75" customHeight="1">
      <c r="A952" s="26"/>
      <c r="B952" s="26"/>
      <c r="E952" s="26"/>
    </row>
    <row r="953" ht="15.75" customHeight="1">
      <c r="A953" s="26"/>
      <c r="B953" s="26"/>
      <c r="E953" s="26"/>
    </row>
    <row r="954" ht="15.75" customHeight="1">
      <c r="A954" s="26"/>
      <c r="B954" s="26"/>
      <c r="E954" s="26"/>
    </row>
    <row r="955" ht="15.75" customHeight="1">
      <c r="A955" s="26"/>
      <c r="B955" s="26"/>
      <c r="E955" s="26"/>
    </row>
    <row r="956" ht="15.75" customHeight="1">
      <c r="A956" s="26"/>
      <c r="B956" s="26"/>
      <c r="E956" s="26"/>
    </row>
    <row r="957" ht="15.75" customHeight="1">
      <c r="A957" s="26"/>
      <c r="B957" s="26"/>
      <c r="E957" s="26"/>
    </row>
    <row r="958" ht="15.75" customHeight="1">
      <c r="A958" s="26"/>
      <c r="B958" s="26"/>
      <c r="E958" s="26"/>
    </row>
    <row r="959" ht="15.75" customHeight="1">
      <c r="A959" s="26"/>
      <c r="B959" s="26"/>
      <c r="E959" s="26"/>
    </row>
    <row r="960" ht="15.75" customHeight="1">
      <c r="A960" s="26"/>
      <c r="B960" s="26"/>
      <c r="E960" s="26"/>
    </row>
    <row r="961" ht="15.75" customHeight="1">
      <c r="A961" s="26"/>
      <c r="B961" s="26"/>
      <c r="E961" s="26"/>
    </row>
    <row r="962" ht="15.75" customHeight="1">
      <c r="A962" s="26"/>
      <c r="B962" s="26"/>
      <c r="E962" s="26"/>
    </row>
    <row r="963" ht="15.75" customHeight="1">
      <c r="A963" s="26"/>
      <c r="B963" s="26"/>
      <c r="E963" s="26"/>
    </row>
    <row r="964" ht="15.75" customHeight="1">
      <c r="A964" s="26"/>
      <c r="B964" s="26"/>
      <c r="E964" s="26"/>
    </row>
    <row r="965" ht="15.75" customHeight="1">
      <c r="A965" s="26"/>
      <c r="B965" s="26"/>
      <c r="E965" s="26"/>
    </row>
    <row r="966" ht="15.75" customHeight="1">
      <c r="A966" s="26"/>
      <c r="B966" s="26"/>
      <c r="E966" s="26"/>
    </row>
    <row r="967" ht="15.75" customHeight="1">
      <c r="A967" s="26"/>
      <c r="B967" s="26"/>
      <c r="E967" s="26"/>
    </row>
    <row r="968" ht="15.75" customHeight="1">
      <c r="A968" s="26"/>
      <c r="B968" s="26"/>
      <c r="E968" s="26"/>
    </row>
    <row r="969" ht="15.75" customHeight="1">
      <c r="A969" s="26"/>
      <c r="B969" s="26"/>
      <c r="E969" s="26"/>
    </row>
    <row r="970" ht="15.75" customHeight="1">
      <c r="A970" s="26"/>
      <c r="B970" s="26"/>
      <c r="E970" s="26"/>
    </row>
    <row r="971" ht="15.75" customHeight="1">
      <c r="A971" s="26"/>
      <c r="B971" s="26"/>
      <c r="E971" s="26"/>
    </row>
    <row r="972" ht="15.75" customHeight="1">
      <c r="A972" s="26"/>
      <c r="B972" s="26"/>
      <c r="E972" s="26"/>
    </row>
    <row r="973" ht="15.75" customHeight="1">
      <c r="A973" s="26"/>
      <c r="B973" s="26"/>
      <c r="E973" s="26"/>
    </row>
    <row r="974" ht="15.75" customHeight="1">
      <c r="A974" s="26"/>
      <c r="B974" s="26"/>
      <c r="E974" s="26"/>
    </row>
    <row r="975" ht="15.75" customHeight="1">
      <c r="A975" s="26"/>
      <c r="B975" s="26"/>
      <c r="E975" s="26"/>
    </row>
    <row r="976" ht="15.75" customHeight="1">
      <c r="A976" s="26"/>
      <c r="B976" s="26"/>
      <c r="E976" s="26"/>
    </row>
    <row r="977" ht="15.75" customHeight="1">
      <c r="A977" s="26"/>
      <c r="B977" s="26"/>
      <c r="E977" s="26"/>
    </row>
    <row r="978" ht="15.75" customHeight="1">
      <c r="A978" s="26"/>
      <c r="B978" s="26"/>
      <c r="E978" s="26"/>
    </row>
    <row r="979" ht="15.75" customHeight="1">
      <c r="A979" s="26"/>
      <c r="B979" s="26"/>
      <c r="E979" s="26"/>
    </row>
    <row r="980" ht="15.75" customHeight="1">
      <c r="A980" s="26"/>
      <c r="B980" s="26"/>
      <c r="E980" s="26"/>
    </row>
    <row r="981" ht="15.75" customHeight="1">
      <c r="A981" s="26"/>
      <c r="B981" s="26"/>
      <c r="E981" s="26"/>
    </row>
    <row r="982" ht="15.75" customHeight="1">
      <c r="A982" s="26"/>
      <c r="B982" s="26"/>
      <c r="E982" s="26"/>
    </row>
    <row r="983" ht="15.75" customHeight="1">
      <c r="A983" s="26"/>
      <c r="B983" s="26"/>
      <c r="E983" s="26"/>
    </row>
    <row r="984" ht="15.75" customHeight="1">
      <c r="A984" s="26"/>
      <c r="B984" s="26"/>
      <c r="E984" s="26"/>
    </row>
    <row r="985" ht="15.75" customHeight="1">
      <c r="A985" s="26"/>
      <c r="B985" s="26"/>
      <c r="E985" s="26"/>
    </row>
    <row r="986" ht="15.75" customHeight="1">
      <c r="A986" s="26"/>
      <c r="B986" s="26"/>
      <c r="E986" s="26"/>
    </row>
    <row r="987" ht="15.75" customHeight="1">
      <c r="A987" s="26"/>
      <c r="B987" s="26"/>
      <c r="E987" s="26"/>
    </row>
    <row r="988" ht="15.75" customHeight="1">
      <c r="A988" s="26"/>
      <c r="B988" s="26"/>
      <c r="E988" s="26"/>
    </row>
    <row r="989" ht="15.75" customHeight="1">
      <c r="A989" s="26"/>
      <c r="B989" s="26"/>
      <c r="E989" s="26"/>
    </row>
    <row r="990" ht="15.75" customHeight="1">
      <c r="A990" s="26"/>
      <c r="B990" s="26"/>
      <c r="E990" s="26"/>
    </row>
    <row r="991" ht="15.75" customHeight="1">
      <c r="A991" s="26"/>
      <c r="B991" s="26"/>
      <c r="E991" s="26"/>
    </row>
    <row r="992" ht="15.75" customHeight="1">
      <c r="A992" s="26"/>
      <c r="B992" s="26"/>
      <c r="E992" s="26"/>
    </row>
    <row r="993" ht="15.75" customHeight="1">
      <c r="A993" s="26"/>
      <c r="B993" s="26"/>
      <c r="E993" s="26"/>
    </row>
    <row r="994" ht="15.75" customHeight="1">
      <c r="A994" s="26"/>
      <c r="B994" s="26"/>
      <c r="E994" s="26"/>
    </row>
    <row r="995" ht="15.75" customHeight="1">
      <c r="A995" s="26"/>
      <c r="B995" s="26"/>
      <c r="E995" s="26"/>
    </row>
    <row r="996" ht="15.75" customHeight="1">
      <c r="A996" s="26"/>
      <c r="B996" s="26"/>
      <c r="E996" s="26"/>
    </row>
    <row r="997" ht="15.75" customHeight="1">
      <c r="A997" s="26"/>
      <c r="B997" s="26"/>
      <c r="E997" s="26"/>
    </row>
    <row r="998" ht="15.75" customHeight="1">
      <c r="A998" s="26"/>
      <c r="B998" s="26"/>
      <c r="E998" s="26"/>
    </row>
    <row r="999" ht="15.75" customHeight="1">
      <c r="A999" s="26"/>
      <c r="B999" s="26"/>
      <c r="E999" s="26"/>
    </row>
    <row r="1000" ht="15.75" customHeight="1">
      <c r="A1000" s="26"/>
      <c r="B1000" s="26"/>
      <c r="E1000" s="26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14"/>
    <col customWidth="1" min="2" max="2" width="10.29"/>
    <col customWidth="1" min="3" max="3" width="14.14"/>
    <col customWidth="1" min="4" max="4" width="13.14"/>
    <col customWidth="1" min="5" max="5" width="16.43"/>
    <col customWidth="1" min="6" max="6" width="16.14"/>
    <col customWidth="1" min="7" max="31" width="8.71"/>
  </cols>
  <sheetData>
    <row r="1" ht="39.75" customHeight="1">
      <c r="A1" s="27" t="s">
        <v>47</v>
      </c>
      <c r="B1" s="2"/>
      <c r="C1" s="2"/>
      <c r="D1" s="2"/>
      <c r="E1" s="3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</row>
    <row r="2" ht="19.5" customHeight="1">
      <c r="A2" s="29" t="s">
        <v>11</v>
      </c>
      <c r="B2" s="29" t="s">
        <v>48</v>
      </c>
      <c r="C2" s="29" t="s">
        <v>49</v>
      </c>
      <c r="D2" s="29" t="s">
        <v>50</v>
      </c>
      <c r="E2" s="29" t="s">
        <v>51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</row>
    <row r="3" ht="19.5" customHeight="1">
      <c r="A3" s="31" t="s">
        <v>6</v>
      </c>
      <c r="B3" s="32">
        <v>22.0</v>
      </c>
      <c r="C3" s="32">
        <v>22.0</v>
      </c>
      <c r="D3" s="32">
        <v>17.0</v>
      </c>
      <c r="E3" s="33">
        <f t="shared" ref="E3:E5" si="1">D3/B3</f>
        <v>0.7727272727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>
      <c r="A4" s="31" t="s">
        <v>7</v>
      </c>
      <c r="B4" s="32">
        <v>28.0</v>
      </c>
      <c r="C4" s="32">
        <v>28.0</v>
      </c>
      <c r="D4" s="32">
        <v>27.0</v>
      </c>
      <c r="E4" s="33">
        <f t="shared" si="1"/>
        <v>0.9642857143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>
      <c r="A5" s="31" t="s">
        <v>8</v>
      </c>
      <c r="B5" s="32">
        <v>35.0</v>
      </c>
      <c r="C5" s="32">
        <v>35.0</v>
      </c>
      <c r="D5" s="32">
        <v>34.0</v>
      </c>
      <c r="E5" s="33">
        <f t="shared" si="1"/>
        <v>0.9714285714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>
      <c r="A6" s="31"/>
      <c r="B6" s="32"/>
      <c r="C6" s="32"/>
      <c r="D6" s="32"/>
      <c r="E6" s="33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>
      <c r="A7" s="31"/>
      <c r="B7" s="32"/>
      <c r="C7" s="32"/>
      <c r="D7" s="32"/>
      <c r="E7" s="33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>
      <c r="A8" s="31"/>
      <c r="B8" s="32"/>
      <c r="C8" s="32"/>
      <c r="D8" s="32"/>
      <c r="E8" s="33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>
      <c r="A9" s="31"/>
      <c r="B9" s="32"/>
      <c r="C9" s="32"/>
      <c r="D9" s="32"/>
      <c r="E9" s="33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>
      <c r="A10" s="31"/>
      <c r="B10" s="32"/>
      <c r="C10" s="32"/>
      <c r="D10" s="32"/>
      <c r="E10" s="33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>
      <c r="A11" s="31"/>
      <c r="B11" s="32"/>
      <c r="C11" s="32"/>
      <c r="D11" s="32"/>
      <c r="E11" s="33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>
      <c r="A12" s="31"/>
      <c r="B12" s="32"/>
      <c r="C12" s="32"/>
      <c r="D12" s="32"/>
      <c r="E12" s="33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>
      <c r="A13" s="31"/>
      <c r="B13" s="32"/>
      <c r="C13" s="32"/>
      <c r="D13" s="32"/>
      <c r="E13" s="33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>
      <c r="A14" s="31"/>
      <c r="B14" s="32"/>
      <c r="C14" s="32"/>
      <c r="D14" s="32"/>
      <c r="E14" s="33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>
      <c r="A15" s="31"/>
      <c r="B15" s="32"/>
      <c r="C15" s="32"/>
      <c r="D15" s="32"/>
      <c r="E15" s="33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>
      <c r="A16" s="31"/>
      <c r="B16" s="32"/>
      <c r="C16" s="32"/>
      <c r="D16" s="32"/>
      <c r="E16" s="33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>
      <c r="A17" s="31"/>
      <c r="B17" s="32"/>
      <c r="C17" s="32"/>
      <c r="D17" s="32"/>
      <c r="E17" s="33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>
      <c r="A18" s="31"/>
      <c r="B18" s="32"/>
      <c r="C18" s="32"/>
      <c r="D18" s="32"/>
      <c r="E18" s="33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>
      <c r="A19" s="31"/>
      <c r="B19" s="34"/>
      <c r="C19" s="34"/>
      <c r="D19" s="34"/>
      <c r="E19" s="33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>
      <c r="A20" s="31"/>
      <c r="B20" s="34"/>
      <c r="C20" s="34"/>
      <c r="D20" s="34"/>
      <c r="E20" s="33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ht="15.75" customHeight="1">
      <c r="A21" s="31"/>
      <c r="B21" s="34"/>
      <c r="C21" s="34"/>
      <c r="D21" s="34"/>
      <c r="E21" s="3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ht="15.75" customHeight="1">
      <c r="A22" s="31"/>
      <c r="B22" s="34"/>
      <c r="C22" s="34"/>
      <c r="D22" s="34"/>
      <c r="E22" s="3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ht="15.75" customHeight="1">
      <c r="A23" s="31"/>
      <c r="B23" s="34"/>
      <c r="C23" s="34"/>
      <c r="D23" s="34"/>
      <c r="E23" s="3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ht="15.75" customHeight="1">
      <c r="A24" s="31"/>
      <c r="B24" s="34"/>
      <c r="C24" s="34"/>
      <c r="D24" s="34"/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ht="15.75" customHeight="1">
      <c r="A25" s="31"/>
      <c r="B25" s="34"/>
      <c r="C25" s="34"/>
      <c r="D25" s="34"/>
      <c r="E25" s="33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ht="15.75" customHeight="1">
      <c r="A26" s="31"/>
      <c r="B26" s="34"/>
      <c r="C26" s="34"/>
      <c r="D26" s="34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</row>
    <row r="27" ht="15.75" customHeight="1">
      <c r="A27" s="31"/>
      <c r="B27" s="34"/>
      <c r="C27" s="34"/>
      <c r="D27" s="34"/>
      <c r="E27" s="3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</row>
    <row r="28" ht="15.75" customHeight="1">
      <c r="A28" s="31"/>
      <c r="B28" s="34"/>
      <c r="C28" s="34"/>
      <c r="D28" s="34"/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</row>
    <row r="29" ht="15.75" customHeight="1">
      <c r="A29" s="31"/>
      <c r="B29" s="34"/>
      <c r="C29" s="34"/>
      <c r="D29" s="34"/>
      <c r="E29" s="3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</row>
    <row r="30" ht="15.75" customHeight="1">
      <c r="A30" s="31"/>
      <c r="B30" s="34"/>
      <c r="C30" s="34"/>
      <c r="D30" s="34"/>
      <c r="E30" s="3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</row>
    <row r="31" ht="15.75" customHeight="1">
      <c r="A31" s="31"/>
      <c r="B31" s="34"/>
      <c r="C31" s="34"/>
      <c r="D31" s="34"/>
      <c r="E31" s="3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</row>
    <row r="32" ht="15.75" customHeight="1">
      <c r="A32" s="31"/>
      <c r="B32" s="32"/>
      <c r="C32" s="32"/>
      <c r="D32" s="32"/>
      <c r="E32" s="33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</row>
    <row r="33" ht="15.75" customHeight="1">
      <c r="A33" s="31"/>
      <c r="B33" s="32"/>
      <c r="C33" s="32"/>
      <c r="D33" s="32"/>
      <c r="E33" s="33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</row>
    <row r="34" ht="15.75" customHeight="1">
      <c r="A34" s="31"/>
      <c r="B34" s="32"/>
      <c r="C34" s="32"/>
      <c r="D34" s="32"/>
      <c r="E34" s="33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</row>
    <row r="35" ht="15.75" customHeight="1">
      <c r="A35" s="31"/>
      <c r="B35" s="32"/>
      <c r="C35" s="32"/>
      <c r="D35" s="32"/>
      <c r="E35" s="3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</row>
    <row r="36" ht="15.75" customHeight="1">
      <c r="A36" s="31"/>
      <c r="B36" s="32"/>
      <c r="C36" s="32"/>
      <c r="D36" s="32"/>
      <c r="E36" s="3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</row>
    <row r="37" ht="15.75" customHeight="1">
      <c r="A37" s="31"/>
      <c r="B37" s="32"/>
      <c r="C37" s="32"/>
      <c r="D37" s="32"/>
      <c r="E37" s="33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  <row r="38" ht="15.75" customHeight="1">
      <c r="A38" s="31"/>
      <c r="B38" s="34"/>
      <c r="C38" s="34"/>
      <c r="D38" s="34"/>
      <c r="E38" s="33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</row>
    <row r="39" ht="15.75" customHeight="1">
      <c r="A39" s="31"/>
      <c r="B39" s="34"/>
      <c r="C39" s="34"/>
      <c r="D39" s="34"/>
      <c r="E39" s="33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</row>
    <row r="40" ht="15.75" customHeight="1">
      <c r="A40" s="31"/>
      <c r="B40" s="34"/>
      <c r="C40" s="34"/>
      <c r="D40" s="34"/>
      <c r="E40" s="33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</row>
    <row r="41" ht="15.75" customHeight="1">
      <c r="A41" s="31"/>
      <c r="B41" s="34"/>
      <c r="C41" s="34"/>
      <c r="D41" s="34"/>
      <c r="E41" s="33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ht="15.75" customHeight="1">
      <c r="A42" s="31"/>
      <c r="B42" s="34"/>
      <c r="C42" s="34"/>
      <c r="D42" s="34"/>
      <c r="E42" s="33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ht="15.75" customHeight="1">
      <c r="A43" s="35"/>
      <c r="B43" s="28"/>
      <c r="C43" s="28"/>
      <c r="D43" s="28"/>
      <c r="E43" s="3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ht="15.75" customHeight="1">
      <c r="A44" s="35"/>
      <c r="B44" s="28"/>
      <c r="C44" s="28"/>
      <c r="D44" s="28"/>
      <c r="E44" s="3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  <row r="45" ht="15.75" customHeight="1">
      <c r="A45" s="35"/>
      <c r="B45" s="28"/>
      <c r="C45" s="28"/>
      <c r="D45" s="28"/>
      <c r="E45" s="3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</row>
    <row r="46" ht="15.75" customHeight="1">
      <c r="A46" s="35"/>
      <c r="B46" s="28"/>
      <c r="C46" s="28"/>
      <c r="D46" s="28"/>
      <c r="E46" s="3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</row>
    <row r="47" ht="15.75" customHeight="1">
      <c r="A47" s="35"/>
      <c r="B47" s="28"/>
      <c r="C47" s="28"/>
      <c r="D47" s="28"/>
      <c r="E47" s="3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</row>
    <row r="48" ht="15.75" customHeight="1">
      <c r="A48" s="35"/>
      <c r="B48" s="28"/>
      <c r="C48" s="28"/>
      <c r="D48" s="28"/>
      <c r="E48" s="3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</row>
    <row r="49" ht="15.75" customHeight="1">
      <c r="A49" s="35"/>
      <c r="B49" s="28"/>
      <c r="C49" s="28"/>
      <c r="D49" s="28"/>
      <c r="E49" s="3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</row>
    <row r="50" ht="15.75" customHeight="1">
      <c r="A50" s="35"/>
      <c r="B50" s="28"/>
      <c r="C50" s="28"/>
      <c r="D50" s="28"/>
      <c r="E50" s="3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</row>
    <row r="51" ht="15.75" customHeight="1">
      <c r="A51" s="35"/>
      <c r="B51" s="28"/>
      <c r="C51" s="28"/>
      <c r="D51" s="28"/>
      <c r="E51" s="3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</row>
    <row r="52" ht="15.75" customHeight="1">
      <c r="A52" s="35"/>
      <c r="B52" s="28"/>
      <c r="C52" s="28"/>
      <c r="D52" s="28"/>
      <c r="E52" s="3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</row>
    <row r="53" ht="15.75" customHeight="1">
      <c r="A53" s="35"/>
      <c r="B53" s="28"/>
      <c r="C53" s="28"/>
      <c r="D53" s="28"/>
      <c r="E53" s="3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</row>
    <row r="54" ht="15.75" customHeight="1">
      <c r="A54" s="35"/>
      <c r="B54" s="28"/>
      <c r="C54" s="28"/>
      <c r="D54" s="28"/>
      <c r="E54" s="3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</row>
    <row r="55" ht="15.75" customHeight="1">
      <c r="A55" s="35"/>
      <c r="B55" s="28"/>
      <c r="C55" s="28"/>
      <c r="D55" s="28"/>
      <c r="E55" s="3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</row>
    <row r="56" ht="15.75" customHeight="1">
      <c r="A56" s="35"/>
      <c r="B56" s="28"/>
      <c r="C56" s="28"/>
      <c r="D56" s="28"/>
      <c r="E56" s="3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</row>
    <row r="57" ht="15.75" customHeight="1">
      <c r="A57" s="35"/>
      <c r="B57" s="28"/>
      <c r="C57" s="28"/>
      <c r="D57" s="28"/>
      <c r="E57" s="3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</row>
    <row r="58" ht="15.75" customHeight="1">
      <c r="A58" s="35"/>
      <c r="B58" s="28"/>
      <c r="C58" s="28"/>
      <c r="D58" s="28"/>
      <c r="E58" s="3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</row>
    <row r="59" ht="15.75" customHeight="1">
      <c r="A59" s="35"/>
      <c r="B59" s="28"/>
      <c r="C59" s="28"/>
      <c r="D59" s="28"/>
      <c r="E59" s="3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</row>
    <row r="60" ht="15.75" customHeight="1">
      <c r="A60" s="35"/>
      <c r="B60" s="28"/>
      <c r="C60" s="28"/>
      <c r="D60" s="28"/>
      <c r="E60" s="36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</row>
    <row r="61" ht="15.75" customHeight="1">
      <c r="A61" s="35"/>
      <c r="B61" s="28"/>
      <c r="C61" s="28"/>
      <c r="D61" s="28"/>
      <c r="E61" s="3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</row>
    <row r="62" ht="15.75" customHeight="1">
      <c r="A62" s="35"/>
      <c r="B62" s="28"/>
      <c r="C62" s="28"/>
      <c r="D62" s="28"/>
      <c r="E62" s="3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</row>
    <row r="63" ht="15.75" customHeight="1">
      <c r="A63" s="35"/>
      <c r="B63" s="28"/>
      <c r="C63" s="28"/>
      <c r="D63" s="28"/>
      <c r="E63" s="3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</row>
    <row r="64" ht="15.75" customHeight="1">
      <c r="A64" s="35"/>
      <c r="B64" s="28"/>
      <c r="C64" s="28"/>
      <c r="D64" s="28"/>
      <c r="E64" s="3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</row>
    <row r="65" ht="15.75" customHeight="1">
      <c r="A65" s="35"/>
      <c r="B65" s="28"/>
      <c r="C65" s="28"/>
      <c r="D65" s="28"/>
      <c r="E65" s="3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</row>
    <row r="66" ht="15.75" customHeight="1">
      <c r="A66" s="35"/>
      <c r="B66" s="28"/>
      <c r="C66" s="28"/>
      <c r="D66" s="28"/>
      <c r="E66" s="3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</row>
    <row r="67" ht="15.75" customHeight="1">
      <c r="A67" s="35"/>
      <c r="B67" s="28"/>
      <c r="C67" s="28"/>
      <c r="D67" s="28"/>
      <c r="E67" s="3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</row>
    <row r="68" ht="15.75" customHeight="1">
      <c r="A68" s="35"/>
      <c r="B68" s="28"/>
      <c r="C68" s="28"/>
      <c r="D68" s="28"/>
      <c r="E68" s="36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</row>
    <row r="69" ht="15.75" customHeight="1">
      <c r="A69" s="35"/>
      <c r="B69" s="28"/>
      <c r="C69" s="28"/>
      <c r="D69" s="28"/>
      <c r="E69" s="3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</row>
    <row r="70" ht="15.75" customHeight="1">
      <c r="A70" s="35"/>
      <c r="B70" s="28"/>
      <c r="C70" s="28"/>
      <c r="D70" s="28"/>
      <c r="E70" s="3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</row>
    <row r="71" ht="15.75" customHeight="1">
      <c r="A71" s="37"/>
      <c r="B71" s="28"/>
      <c r="C71" s="28"/>
      <c r="D71" s="28"/>
      <c r="E71" s="3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</row>
    <row r="72" ht="15.75" customHeight="1">
      <c r="A72" s="37"/>
      <c r="B72" s="28"/>
      <c r="C72" s="28"/>
      <c r="D72" s="28"/>
      <c r="E72" s="3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</row>
    <row r="73" ht="15.75" customHeight="1">
      <c r="A73" s="37"/>
      <c r="B73" s="28"/>
      <c r="C73" s="28"/>
      <c r="D73" s="28"/>
      <c r="E73" s="3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</row>
    <row r="74" ht="15.75" customHeight="1">
      <c r="A74" s="37"/>
      <c r="B74" s="28"/>
      <c r="C74" s="28"/>
      <c r="D74" s="28"/>
      <c r="E74" s="3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</row>
    <row r="75" ht="15.75" customHeight="1">
      <c r="A75" s="37"/>
      <c r="B75" s="28"/>
      <c r="C75" s="28"/>
      <c r="D75" s="28"/>
      <c r="E75" s="3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</row>
    <row r="76" ht="15.75" customHeight="1">
      <c r="A76" s="37"/>
      <c r="B76" s="28"/>
      <c r="C76" s="28"/>
      <c r="D76" s="28"/>
      <c r="E76" s="3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</row>
    <row r="77" ht="15.75" customHeight="1">
      <c r="A77" s="37"/>
      <c r="B77" s="28"/>
      <c r="C77" s="28"/>
      <c r="D77" s="28"/>
      <c r="E77" s="3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</row>
    <row r="78" ht="15.75" customHeight="1">
      <c r="A78" s="37"/>
      <c r="B78" s="28"/>
      <c r="C78" s="28"/>
      <c r="D78" s="28"/>
      <c r="E78" s="3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</row>
    <row r="79" ht="15.75" customHeight="1">
      <c r="A79" s="37"/>
      <c r="B79" s="28"/>
      <c r="C79" s="28"/>
      <c r="D79" s="28"/>
      <c r="E79" s="3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</row>
    <row r="80" ht="15.75" customHeight="1">
      <c r="A80" s="37"/>
      <c r="B80" s="28"/>
      <c r="C80" s="28"/>
      <c r="D80" s="28"/>
      <c r="E80" s="3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</row>
    <row r="81" ht="15.75" customHeight="1">
      <c r="A81" s="37"/>
      <c r="B81" s="28"/>
      <c r="C81" s="28"/>
      <c r="D81" s="28"/>
      <c r="E81" s="3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</row>
    <row r="82" ht="15.75" customHeight="1">
      <c r="A82" s="37"/>
      <c r="B82" s="28"/>
      <c r="C82" s="28"/>
      <c r="D82" s="28"/>
      <c r="E82" s="3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</row>
    <row r="83" ht="15.75" customHeight="1">
      <c r="A83" s="37"/>
      <c r="B83" s="28"/>
      <c r="C83" s="28"/>
      <c r="D83" s="28"/>
      <c r="E83" s="3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</row>
    <row r="84" ht="15.75" customHeight="1">
      <c r="A84" s="37"/>
      <c r="B84" s="28"/>
      <c r="C84" s="28"/>
      <c r="D84" s="28"/>
      <c r="E84" s="3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</row>
    <row r="85" ht="15.75" customHeight="1">
      <c r="A85" s="37"/>
      <c r="B85" s="28"/>
      <c r="C85" s="28"/>
      <c r="D85" s="28"/>
      <c r="E85" s="3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</row>
    <row r="86" ht="15.75" customHeight="1">
      <c r="A86" s="37"/>
      <c r="B86" s="28"/>
      <c r="C86" s="28"/>
      <c r="D86" s="28"/>
      <c r="E86" s="3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</row>
    <row r="87" ht="15.75" customHeight="1">
      <c r="A87" s="37"/>
      <c r="B87" s="28"/>
      <c r="C87" s="28"/>
      <c r="D87" s="28"/>
      <c r="E87" s="3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</row>
    <row r="88" ht="15.75" customHeight="1">
      <c r="A88" s="37"/>
      <c r="B88" s="28"/>
      <c r="C88" s="28"/>
      <c r="D88" s="28"/>
      <c r="E88" s="3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</row>
    <row r="89" ht="15.75" customHeight="1">
      <c r="A89" s="37"/>
      <c r="B89" s="28"/>
      <c r="C89" s="28"/>
      <c r="D89" s="28"/>
      <c r="E89" s="3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</row>
    <row r="90" ht="15.75" customHeight="1">
      <c r="A90" s="37"/>
      <c r="B90" s="28"/>
      <c r="C90" s="28"/>
      <c r="D90" s="28"/>
      <c r="E90" s="3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</row>
    <row r="91" ht="15.75" customHeight="1">
      <c r="A91" s="37"/>
      <c r="B91" s="28"/>
      <c r="C91" s="28"/>
      <c r="D91" s="28"/>
      <c r="E91" s="3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</row>
    <row r="92" ht="15.75" customHeight="1">
      <c r="A92" s="37"/>
      <c r="B92" s="28"/>
      <c r="C92" s="28"/>
      <c r="D92" s="28"/>
      <c r="E92" s="3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</row>
    <row r="93" ht="15.75" customHeight="1">
      <c r="A93" s="37"/>
      <c r="B93" s="28"/>
      <c r="C93" s="28"/>
      <c r="D93" s="28"/>
      <c r="E93" s="3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</row>
    <row r="94" ht="15.75" customHeight="1">
      <c r="A94" s="37"/>
      <c r="B94" s="28"/>
      <c r="C94" s="28"/>
      <c r="D94" s="28"/>
      <c r="E94" s="3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ht="15.75" customHeight="1">
      <c r="A95" s="37"/>
      <c r="B95" s="28"/>
      <c r="C95" s="28"/>
      <c r="D95" s="28"/>
      <c r="E95" s="3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</row>
    <row r="96" ht="15.75" customHeight="1">
      <c r="A96" s="37"/>
      <c r="B96" s="28"/>
      <c r="C96" s="28"/>
      <c r="D96" s="28"/>
      <c r="E96" s="3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</row>
    <row r="97" ht="15.75" customHeight="1">
      <c r="A97" s="37"/>
      <c r="B97" s="28"/>
      <c r="C97" s="28"/>
      <c r="D97" s="28"/>
      <c r="E97" s="3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</row>
    <row r="98" ht="15.75" customHeight="1">
      <c r="A98" s="37"/>
      <c r="B98" s="28"/>
      <c r="C98" s="28"/>
      <c r="D98" s="28"/>
      <c r="E98" s="3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</row>
    <row r="99" ht="15.75" customHeight="1">
      <c r="A99" s="37"/>
      <c r="B99" s="28"/>
      <c r="C99" s="28"/>
      <c r="D99" s="28"/>
      <c r="E99" s="3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</row>
    <row r="100" ht="15.75" customHeight="1">
      <c r="A100" s="37"/>
      <c r="B100" s="28"/>
      <c r="C100" s="28"/>
      <c r="D100" s="28"/>
      <c r="E100" s="3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</row>
    <row r="101" ht="15.75" customHeight="1">
      <c r="A101" s="37"/>
      <c r="B101" s="28"/>
      <c r="C101" s="28"/>
      <c r="D101" s="28"/>
      <c r="E101" s="3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</row>
    <row r="102" ht="15.75" customHeight="1">
      <c r="A102" s="37"/>
      <c r="B102" s="28"/>
      <c r="C102" s="28"/>
      <c r="D102" s="28"/>
      <c r="E102" s="3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</row>
    <row r="103" ht="15.75" customHeight="1">
      <c r="A103" s="37"/>
      <c r="B103" s="28"/>
      <c r="C103" s="28"/>
      <c r="D103" s="28"/>
      <c r="E103" s="3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</row>
    <row r="104" ht="15.75" customHeight="1">
      <c r="A104" s="37"/>
      <c r="B104" s="28"/>
      <c r="C104" s="28"/>
      <c r="D104" s="28"/>
      <c r="E104" s="3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</row>
    <row r="105" ht="15.75" customHeight="1">
      <c r="A105" s="37"/>
      <c r="B105" s="28"/>
      <c r="C105" s="28"/>
      <c r="D105" s="28"/>
      <c r="E105" s="3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</row>
    <row r="106" ht="15.75" customHeight="1">
      <c r="A106" s="37"/>
      <c r="B106" s="28"/>
      <c r="C106" s="28"/>
      <c r="D106" s="28"/>
      <c r="E106" s="3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</row>
    <row r="107" ht="15.75" customHeight="1">
      <c r="A107" s="37"/>
      <c r="B107" s="28"/>
      <c r="C107" s="28"/>
      <c r="D107" s="28"/>
      <c r="E107" s="3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</row>
    <row r="108" ht="15.75" customHeight="1">
      <c r="A108" s="37"/>
      <c r="B108" s="28"/>
      <c r="C108" s="28"/>
      <c r="D108" s="28"/>
      <c r="E108" s="3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</row>
    <row r="109" ht="15.75" customHeight="1">
      <c r="A109" s="37"/>
      <c r="B109" s="28"/>
      <c r="C109" s="28"/>
      <c r="D109" s="28"/>
      <c r="E109" s="3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</row>
    <row r="110" ht="15.75" customHeight="1">
      <c r="A110" s="37"/>
      <c r="B110" s="28"/>
      <c r="C110" s="28"/>
      <c r="D110" s="28"/>
      <c r="E110" s="3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</row>
    <row r="111" ht="15.75" customHeight="1">
      <c r="A111" s="37"/>
      <c r="B111" s="28"/>
      <c r="C111" s="28"/>
      <c r="D111" s="28"/>
      <c r="E111" s="3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</row>
    <row r="112" ht="15.75" customHeight="1">
      <c r="A112" s="37"/>
      <c r="B112" s="28"/>
      <c r="C112" s="28"/>
      <c r="D112" s="28"/>
      <c r="E112" s="3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</row>
    <row r="113" ht="15.75" customHeight="1">
      <c r="A113" s="37"/>
      <c r="B113" s="28"/>
      <c r="C113" s="28"/>
      <c r="D113" s="28"/>
      <c r="E113" s="3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</row>
    <row r="114" ht="15.75" customHeight="1">
      <c r="A114" s="37"/>
      <c r="B114" s="28"/>
      <c r="C114" s="28"/>
      <c r="D114" s="28"/>
      <c r="E114" s="3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</row>
    <row r="115" ht="15.75" customHeight="1">
      <c r="A115" s="37"/>
      <c r="B115" s="28"/>
      <c r="C115" s="28"/>
      <c r="D115" s="28"/>
      <c r="E115" s="3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</row>
    <row r="116" ht="15.75" customHeight="1">
      <c r="A116" s="37"/>
      <c r="B116" s="28"/>
      <c r="C116" s="28"/>
      <c r="D116" s="28"/>
      <c r="E116" s="3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</row>
    <row r="117" ht="15.75" customHeight="1">
      <c r="A117" s="37"/>
      <c r="B117" s="28"/>
      <c r="C117" s="28"/>
      <c r="D117" s="28"/>
      <c r="E117" s="3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</row>
    <row r="118" ht="15.75" customHeight="1">
      <c r="A118" s="37"/>
      <c r="B118" s="28"/>
      <c r="C118" s="28"/>
      <c r="D118" s="28"/>
      <c r="E118" s="3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</row>
    <row r="119" ht="15.75" customHeight="1">
      <c r="A119" s="37"/>
      <c r="B119" s="28"/>
      <c r="C119" s="28"/>
      <c r="D119" s="28"/>
      <c r="E119" s="3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</row>
    <row r="120" ht="15.75" customHeight="1">
      <c r="A120" s="37"/>
      <c r="B120" s="28"/>
      <c r="C120" s="28"/>
      <c r="D120" s="28"/>
      <c r="E120" s="3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</row>
    <row r="121" ht="15.75" customHeight="1">
      <c r="A121" s="37"/>
      <c r="B121" s="28"/>
      <c r="C121" s="28"/>
      <c r="D121" s="28"/>
      <c r="E121" s="3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</row>
    <row r="122" ht="15.75" customHeight="1">
      <c r="A122" s="37"/>
      <c r="B122" s="28"/>
      <c r="C122" s="28"/>
      <c r="D122" s="28"/>
      <c r="E122" s="3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</row>
    <row r="123" ht="15.75" customHeight="1">
      <c r="A123" s="37"/>
      <c r="B123" s="28"/>
      <c r="C123" s="28"/>
      <c r="D123" s="28"/>
      <c r="E123" s="3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</row>
    <row r="124" ht="15.75" customHeight="1">
      <c r="A124" s="37"/>
      <c r="B124" s="28"/>
      <c r="C124" s="28"/>
      <c r="D124" s="28"/>
      <c r="E124" s="3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</row>
    <row r="125" ht="15.75" customHeight="1">
      <c r="A125" s="37"/>
      <c r="B125" s="28"/>
      <c r="C125" s="28"/>
      <c r="D125" s="28"/>
      <c r="E125" s="3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</row>
    <row r="126" ht="15.75" customHeight="1">
      <c r="A126" s="37"/>
      <c r="B126" s="28"/>
      <c r="C126" s="28"/>
      <c r="D126" s="28"/>
      <c r="E126" s="3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</row>
    <row r="127" ht="15.75" customHeight="1">
      <c r="A127" s="37"/>
      <c r="B127" s="28"/>
      <c r="C127" s="28"/>
      <c r="D127" s="28"/>
      <c r="E127" s="3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</row>
    <row r="128" ht="15.75" customHeight="1">
      <c r="A128" s="37"/>
      <c r="B128" s="28"/>
      <c r="C128" s="28"/>
      <c r="D128" s="28"/>
      <c r="E128" s="3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</row>
    <row r="129" ht="15.75" customHeight="1">
      <c r="A129" s="37"/>
      <c r="B129" s="28"/>
      <c r="C129" s="28"/>
      <c r="D129" s="28"/>
      <c r="E129" s="3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</row>
    <row r="130" ht="15.75" customHeight="1">
      <c r="A130" s="37"/>
      <c r="B130" s="28"/>
      <c r="C130" s="28"/>
      <c r="D130" s="28"/>
      <c r="E130" s="3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</row>
    <row r="131" ht="15.75" customHeight="1">
      <c r="A131" s="37"/>
      <c r="B131" s="28"/>
      <c r="C131" s="28"/>
      <c r="D131" s="28"/>
      <c r="E131" s="3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</row>
    <row r="132" ht="15.75" customHeight="1">
      <c r="A132" s="37"/>
      <c r="B132" s="28"/>
      <c r="C132" s="28"/>
      <c r="D132" s="28"/>
      <c r="E132" s="3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</row>
    <row r="133" ht="15.75" customHeight="1">
      <c r="A133" s="37"/>
      <c r="B133" s="28"/>
      <c r="C133" s="28"/>
      <c r="D133" s="28"/>
      <c r="E133" s="3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</row>
    <row r="134" ht="15.75" customHeight="1">
      <c r="A134" s="37"/>
      <c r="B134" s="28"/>
      <c r="C134" s="28"/>
      <c r="D134" s="28"/>
      <c r="E134" s="3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</row>
    <row r="135" ht="15.75" customHeight="1">
      <c r="A135" s="37"/>
      <c r="B135" s="28"/>
      <c r="C135" s="28"/>
      <c r="D135" s="28"/>
      <c r="E135" s="3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</row>
    <row r="136" ht="15.75" customHeight="1">
      <c r="A136" s="37"/>
      <c r="B136" s="28"/>
      <c r="C136" s="28"/>
      <c r="D136" s="28"/>
      <c r="E136" s="3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</row>
    <row r="137" ht="15.75" customHeight="1">
      <c r="A137" s="37"/>
      <c r="B137" s="28"/>
      <c r="C137" s="28"/>
      <c r="D137" s="28"/>
      <c r="E137" s="3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</row>
    <row r="138" ht="15.75" customHeight="1">
      <c r="A138" s="37"/>
      <c r="B138" s="28"/>
      <c r="C138" s="28"/>
      <c r="D138" s="28"/>
      <c r="E138" s="3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</row>
    <row r="139" ht="15.75" customHeight="1">
      <c r="A139" s="37"/>
      <c r="B139" s="28"/>
      <c r="C139" s="28"/>
      <c r="D139" s="28"/>
      <c r="E139" s="3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</row>
    <row r="140" ht="15.75" customHeight="1">
      <c r="A140" s="37"/>
      <c r="B140" s="28"/>
      <c r="C140" s="28"/>
      <c r="D140" s="28"/>
      <c r="E140" s="3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</row>
    <row r="141" ht="15.75" customHeight="1">
      <c r="A141" s="37"/>
      <c r="B141" s="28"/>
      <c r="C141" s="28"/>
      <c r="D141" s="28"/>
      <c r="E141" s="3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</row>
    <row r="142" ht="15.75" customHeight="1">
      <c r="A142" s="37"/>
      <c r="B142" s="28"/>
      <c r="C142" s="28"/>
      <c r="D142" s="28"/>
      <c r="E142" s="3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</row>
    <row r="143" ht="15.75" customHeight="1">
      <c r="A143" s="37"/>
      <c r="B143" s="28"/>
      <c r="C143" s="28"/>
      <c r="D143" s="28"/>
      <c r="E143" s="3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</row>
    <row r="144" ht="15.75" customHeight="1">
      <c r="A144" s="37"/>
      <c r="B144" s="28"/>
      <c r="C144" s="28"/>
      <c r="D144" s="28"/>
      <c r="E144" s="3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</row>
    <row r="145" ht="15.75" customHeight="1">
      <c r="A145" s="37"/>
      <c r="B145" s="28"/>
      <c r="C145" s="28"/>
      <c r="D145" s="28"/>
      <c r="E145" s="3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</row>
    <row r="146" ht="15.75" customHeight="1">
      <c r="A146" s="37"/>
      <c r="B146" s="28"/>
      <c r="C146" s="28"/>
      <c r="D146" s="28"/>
      <c r="E146" s="3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</row>
    <row r="147" ht="15.75" customHeight="1">
      <c r="A147" s="37"/>
      <c r="B147" s="28"/>
      <c r="C147" s="28"/>
      <c r="D147" s="28"/>
      <c r="E147" s="3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</row>
    <row r="148" ht="15.75" customHeight="1">
      <c r="A148" s="37"/>
      <c r="B148" s="28"/>
      <c r="C148" s="28"/>
      <c r="D148" s="28"/>
      <c r="E148" s="3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</row>
    <row r="149" ht="15.75" customHeight="1">
      <c r="A149" s="37"/>
      <c r="B149" s="28"/>
      <c r="C149" s="28"/>
      <c r="D149" s="28"/>
      <c r="E149" s="3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</row>
    <row r="150" ht="15.75" customHeight="1">
      <c r="A150" s="37"/>
      <c r="B150" s="28"/>
      <c r="C150" s="28"/>
      <c r="D150" s="28"/>
      <c r="E150" s="3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</row>
    <row r="151" ht="15.75" customHeight="1">
      <c r="A151" s="37"/>
      <c r="B151" s="28"/>
      <c r="C151" s="28"/>
      <c r="D151" s="28"/>
      <c r="E151" s="3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</row>
    <row r="152" ht="15.75" customHeight="1">
      <c r="A152" s="37"/>
      <c r="B152" s="28"/>
      <c r="C152" s="28"/>
      <c r="D152" s="28"/>
      <c r="E152" s="3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</row>
    <row r="153" ht="15.75" customHeight="1">
      <c r="A153" s="37"/>
      <c r="B153" s="28"/>
      <c r="C153" s="28"/>
      <c r="D153" s="28"/>
      <c r="E153" s="3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</row>
    <row r="154" ht="15.75" customHeight="1">
      <c r="A154" s="37"/>
      <c r="B154" s="28"/>
      <c r="C154" s="28"/>
      <c r="D154" s="28"/>
      <c r="E154" s="3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</row>
    <row r="155" ht="15.75" customHeight="1">
      <c r="A155" s="37"/>
      <c r="B155" s="28"/>
      <c r="C155" s="28"/>
      <c r="D155" s="28"/>
      <c r="E155" s="3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</row>
    <row r="156" ht="15.75" customHeight="1">
      <c r="A156" s="37"/>
      <c r="B156" s="28"/>
      <c r="C156" s="28"/>
      <c r="D156" s="28"/>
      <c r="E156" s="3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</row>
    <row r="157" ht="15.75" customHeight="1">
      <c r="A157" s="37"/>
      <c r="B157" s="28"/>
      <c r="C157" s="28"/>
      <c r="D157" s="28"/>
      <c r="E157" s="3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</row>
    <row r="158" ht="15.75" customHeight="1">
      <c r="A158" s="37"/>
      <c r="B158" s="28"/>
      <c r="C158" s="28"/>
      <c r="D158" s="28"/>
      <c r="E158" s="3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</row>
    <row r="159" ht="15.75" customHeight="1">
      <c r="A159" s="37"/>
      <c r="B159" s="28"/>
      <c r="C159" s="28"/>
      <c r="D159" s="28"/>
      <c r="E159" s="3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</row>
    <row r="160" ht="15.75" customHeight="1">
      <c r="A160" s="37"/>
      <c r="B160" s="28"/>
      <c r="C160" s="28"/>
      <c r="D160" s="28"/>
      <c r="E160" s="3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</row>
    <row r="161" ht="15.75" customHeight="1">
      <c r="A161" s="37"/>
      <c r="B161" s="28"/>
      <c r="C161" s="28"/>
      <c r="D161" s="28"/>
      <c r="E161" s="3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</row>
    <row r="162" ht="15.75" customHeight="1">
      <c r="A162" s="37"/>
      <c r="B162" s="28"/>
      <c r="C162" s="28"/>
      <c r="D162" s="28"/>
      <c r="E162" s="3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</row>
    <row r="163" ht="15.75" customHeight="1">
      <c r="A163" s="37"/>
      <c r="B163" s="28"/>
      <c r="C163" s="28"/>
      <c r="D163" s="28"/>
      <c r="E163" s="3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</row>
    <row r="164" ht="15.75" customHeight="1">
      <c r="A164" s="37"/>
      <c r="B164" s="28"/>
      <c r="C164" s="28"/>
      <c r="D164" s="28"/>
      <c r="E164" s="3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</row>
    <row r="165" ht="15.75" customHeight="1">
      <c r="A165" s="37"/>
      <c r="B165" s="28"/>
      <c r="C165" s="28"/>
      <c r="D165" s="28"/>
      <c r="E165" s="3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</row>
    <row r="166" ht="15.75" customHeight="1">
      <c r="A166" s="37"/>
      <c r="B166" s="28"/>
      <c r="C166" s="28"/>
      <c r="D166" s="28"/>
      <c r="E166" s="3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</row>
    <row r="167" ht="15.75" customHeight="1">
      <c r="A167" s="37"/>
      <c r="B167" s="28"/>
      <c r="C167" s="28"/>
      <c r="D167" s="28"/>
      <c r="E167" s="3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</row>
    <row r="168" ht="15.75" customHeight="1">
      <c r="A168" s="37"/>
      <c r="B168" s="28"/>
      <c r="C168" s="28"/>
      <c r="D168" s="28"/>
      <c r="E168" s="3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</row>
    <row r="169" ht="15.75" customHeight="1">
      <c r="A169" s="37"/>
      <c r="B169" s="28"/>
      <c r="C169" s="28"/>
      <c r="D169" s="28"/>
      <c r="E169" s="3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</row>
    <row r="170" ht="15.75" customHeight="1">
      <c r="A170" s="37"/>
      <c r="B170" s="28"/>
      <c r="C170" s="28"/>
      <c r="D170" s="28"/>
      <c r="E170" s="3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</row>
    <row r="171" ht="15.75" customHeight="1">
      <c r="A171" s="37"/>
      <c r="B171" s="28"/>
      <c r="C171" s="28"/>
      <c r="D171" s="28"/>
      <c r="E171" s="3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</row>
    <row r="172" ht="15.75" customHeight="1">
      <c r="A172" s="37"/>
      <c r="B172" s="28"/>
      <c r="C172" s="28"/>
      <c r="D172" s="28"/>
      <c r="E172" s="3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</row>
    <row r="173" ht="15.75" customHeight="1">
      <c r="A173" s="37"/>
      <c r="B173" s="28"/>
      <c r="C173" s="28"/>
      <c r="D173" s="28"/>
      <c r="E173" s="3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</row>
    <row r="174" ht="15.75" customHeight="1">
      <c r="A174" s="37"/>
      <c r="B174" s="28"/>
      <c r="C174" s="28"/>
      <c r="D174" s="28"/>
      <c r="E174" s="3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</row>
    <row r="175" ht="15.75" customHeight="1">
      <c r="A175" s="37"/>
      <c r="B175" s="28"/>
      <c r="C175" s="28"/>
      <c r="D175" s="28"/>
      <c r="E175" s="3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</row>
    <row r="176" ht="15.75" customHeight="1">
      <c r="A176" s="37"/>
      <c r="B176" s="28"/>
      <c r="C176" s="28"/>
      <c r="D176" s="28"/>
      <c r="E176" s="3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</row>
    <row r="177" ht="15.75" customHeight="1">
      <c r="A177" s="37"/>
      <c r="B177" s="28"/>
      <c r="C177" s="28"/>
      <c r="D177" s="28"/>
      <c r="E177" s="3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</row>
    <row r="178" ht="15.75" customHeight="1">
      <c r="A178" s="37"/>
      <c r="B178" s="28"/>
      <c r="C178" s="28"/>
      <c r="D178" s="28"/>
      <c r="E178" s="3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</row>
    <row r="179" ht="15.75" customHeight="1">
      <c r="A179" s="37"/>
      <c r="B179" s="28"/>
      <c r="C179" s="28"/>
      <c r="D179" s="28"/>
      <c r="E179" s="3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</row>
    <row r="180" ht="15.75" customHeight="1">
      <c r="A180" s="37"/>
      <c r="B180" s="28"/>
      <c r="C180" s="28"/>
      <c r="D180" s="28"/>
      <c r="E180" s="3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</row>
    <row r="181" ht="15.75" customHeight="1">
      <c r="A181" s="37"/>
      <c r="B181" s="28"/>
      <c r="C181" s="28"/>
      <c r="D181" s="28"/>
      <c r="E181" s="3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</row>
    <row r="182" ht="15.75" customHeight="1">
      <c r="A182" s="37"/>
      <c r="B182" s="28"/>
      <c r="C182" s="28"/>
      <c r="D182" s="28"/>
      <c r="E182" s="3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</row>
    <row r="183" ht="15.75" customHeight="1">
      <c r="A183" s="37"/>
      <c r="B183" s="28"/>
      <c r="C183" s="28"/>
      <c r="D183" s="28"/>
      <c r="E183" s="3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</row>
    <row r="184" ht="15.75" customHeight="1">
      <c r="A184" s="37"/>
      <c r="B184" s="28"/>
      <c r="C184" s="28"/>
      <c r="D184" s="28"/>
      <c r="E184" s="3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</row>
    <row r="185" ht="15.75" customHeight="1">
      <c r="A185" s="37"/>
      <c r="B185" s="28"/>
      <c r="C185" s="28"/>
      <c r="D185" s="28"/>
      <c r="E185" s="3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</row>
    <row r="186" ht="15.75" customHeight="1">
      <c r="A186" s="37"/>
      <c r="B186" s="28"/>
      <c r="C186" s="28"/>
      <c r="D186" s="28"/>
      <c r="E186" s="3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</row>
    <row r="187" ht="15.75" customHeight="1">
      <c r="A187" s="37"/>
      <c r="B187" s="28"/>
      <c r="C187" s="28"/>
      <c r="D187" s="28"/>
      <c r="E187" s="3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</row>
    <row r="188" ht="15.75" customHeight="1">
      <c r="A188" s="37"/>
      <c r="B188" s="28"/>
      <c r="C188" s="28"/>
      <c r="D188" s="28"/>
      <c r="E188" s="3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</row>
    <row r="189" ht="15.75" customHeight="1">
      <c r="A189" s="37"/>
      <c r="B189" s="28"/>
      <c r="C189" s="28"/>
      <c r="D189" s="28"/>
      <c r="E189" s="3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</row>
    <row r="190" ht="15.75" customHeight="1">
      <c r="A190" s="37"/>
      <c r="B190" s="28"/>
      <c r="C190" s="28"/>
      <c r="D190" s="28"/>
      <c r="E190" s="3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</row>
    <row r="191" ht="15.75" customHeight="1">
      <c r="A191" s="37"/>
      <c r="B191" s="28"/>
      <c r="C191" s="28"/>
      <c r="D191" s="28"/>
      <c r="E191" s="3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</row>
    <row r="192" ht="15.75" customHeight="1">
      <c r="A192" s="37"/>
      <c r="B192" s="28"/>
      <c r="C192" s="28"/>
      <c r="D192" s="28"/>
      <c r="E192" s="3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</row>
    <row r="193" ht="15.75" customHeight="1">
      <c r="A193" s="37"/>
      <c r="B193" s="28"/>
      <c r="C193" s="28"/>
      <c r="D193" s="28"/>
      <c r="E193" s="3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</row>
    <row r="194" ht="15.75" customHeight="1">
      <c r="A194" s="37"/>
      <c r="B194" s="28"/>
      <c r="C194" s="28"/>
      <c r="D194" s="28"/>
      <c r="E194" s="3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</row>
    <row r="195" ht="15.75" customHeight="1">
      <c r="A195" s="37"/>
      <c r="B195" s="28"/>
      <c r="C195" s="28"/>
      <c r="D195" s="28"/>
      <c r="E195" s="3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</row>
    <row r="196" ht="15.75" customHeight="1">
      <c r="A196" s="37"/>
      <c r="B196" s="28"/>
      <c r="C196" s="28"/>
      <c r="D196" s="28"/>
      <c r="E196" s="3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</row>
    <row r="197" ht="15.75" customHeight="1">
      <c r="A197" s="37"/>
      <c r="B197" s="28"/>
      <c r="C197" s="28"/>
      <c r="D197" s="28"/>
      <c r="E197" s="3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</row>
    <row r="198" ht="15.75" customHeight="1">
      <c r="A198" s="37"/>
      <c r="B198" s="28"/>
      <c r="C198" s="28"/>
      <c r="D198" s="28"/>
      <c r="E198" s="3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</row>
    <row r="199" ht="15.75" customHeight="1">
      <c r="A199" s="37"/>
      <c r="B199" s="28"/>
      <c r="C199" s="28"/>
      <c r="D199" s="28"/>
      <c r="E199" s="3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</row>
    <row r="200" ht="15.75" customHeight="1">
      <c r="A200" s="37"/>
      <c r="B200" s="28"/>
      <c r="C200" s="28"/>
      <c r="D200" s="28"/>
      <c r="E200" s="3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</row>
    <row r="201" ht="15.75" customHeight="1">
      <c r="A201" s="37"/>
      <c r="B201" s="28"/>
      <c r="C201" s="28"/>
      <c r="D201" s="28"/>
      <c r="E201" s="3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</row>
    <row r="202" ht="15.75" customHeight="1">
      <c r="A202" s="37"/>
      <c r="B202" s="28"/>
      <c r="C202" s="28"/>
      <c r="D202" s="28"/>
      <c r="E202" s="3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</row>
    <row r="203" ht="15.75" customHeight="1">
      <c r="A203" s="37"/>
      <c r="B203" s="28"/>
      <c r="C203" s="28"/>
      <c r="D203" s="28"/>
      <c r="E203" s="3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</row>
    <row r="204" ht="15.75" customHeight="1">
      <c r="A204" s="37"/>
      <c r="B204" s="28"/>
      <c r="C204" s="28"/>
      <c r="D204" s="28"/>
      <c r="E204" s="3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</row>
    <row r="205" ht="15.75" customHeight="1">
      <c r="A205" s="37"/>
      <c r="B205" s="28"/>
      <c r="C205" s="28"/>
      <c r="D205" s="28"/>
      <c r="E205" s="3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</row>
    <row r="206" ht="15.75" customHeight="1">
      <c r="A206" s="37"/>
      <c r="B206" s="28"/>
      <c r="C206" s="28"/>
      <c r="D206" s="28"/>
      <c r="E206" s="3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</row>
    <row r="207" ht="15.75" customHeight="1">
      <c r="A207" s="37"/>
      <c r="B207" s="28"/>
      <c r="C207" s="28"/>
      <c r="D207" s="28"/>
      <c r="E207" s="3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</row>
    <row r="208" ht="15.75" customHeight="1">
      <c r="A208" s="37"/>
      <c r="B208" s="28"/>
      <c r="C208" s="28"/>
      <c r="D208" s="28"/>
      <c r="E208" s="3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</row>
    <row r="209" ht="15.75" customHeight="1">
      <c r="A209" s="37"/>
      <c r="B209" s="28"/>
      <c r="C209" s="28"/>
      <c r="D209" s="28"/>
      <c r="E209" s="3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</row>
    <row r="210" ht="15.75" customHeight="1">
      <c r="A210" s="37"/>
      <c r="B210" s="28"/>
      <c r="C210" s="28"/>
      <c r="D210" s="28"/>
      <c r="E210" s="3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</row>
    <row r="211" ht="15.75" customHeight="1">
      <c r="A211" s="37"/>
      <c r="B211" s="28"/>
      <c r="C211" s="28"/>
      <c r="D211" s="28"/>
      <c r="E211" s="3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</row>
    <row r="212" ht="15.75" customHeight="1">
      <c r="A212" s="37"/>
      <c r="B212" s="28"/>
      <c r="C212" s="28"/>
      <c r="D212" s="28"/>
      <c r="E212" s="3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</row>
    <row r="213" ht="15.75" customHeight="1">
      <c r="A213" s="37"/>
      <c r="B213" s="28"/>
      <c r="C213" s="28"/>
      <c r="D213" s="28"/>
      <c r="E213" s="3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</row>
    <row r="214" ht="15.75" customHeight="1">
      <c r="A214" s="37"/>
      <c r="B214" s="28"/>
      <c r="C214" s="28"/>
      <c r="D214" s="28"/>
      <c r="E214" s="3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</row>
    <row r="215" ht="15.75" customHeight="1">
      <c r="A215" s="37"/>
      <c r="B215" s="28"/>
      <c r="C215" s="28"/>
      <c r="D215" s="28"/>
      <c r="E215" s="3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</row>
    <row r="216" ht="15.75" customHeight="1">
      <c r="A216" s="37"/>
      <c r="B216" s="28"/>
      <c r="C216" s="28"/>
      <c r="D216" s="28"/>
      <c r="E216" s="3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</row>
    <row r="217" ht="15.75" customHeight="1">
      <c r="A217" s="37"/>
      <c r="B217" s="28"/>
      <c r="C217" s="28"/>
      <c r="D217" s="28"/>
      <c r="E217" s="3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</row>
    <row r="218" ht="15.75" customHeight="1">
      <c r="A218" s="37"/>
      <c r="B218" s="28"/>
      <c r="C218" s="28"/>
      <c r="D218" s="28"/>
      <c r="E218" s="3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</row>
    <row r="219" ht="15.75" customHeight="1">
      <c r="A219" s="37"/>
      <c r="B219" s="28"/>
      <c r="C219" s="28"/>
      <c r="D219" s="28"/>
      <c r="E219" s="3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</row>
    <row r="220" ht="15.75" customHeight="1">
      <c r="A220" s="37"/>
      <c r="B220" s="28"/>
      <c r="C220" s="28"/>
      <c r="D220" s="28"/>
      <c r="E220" s="3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</row>
    <row r="221" ht="15.75" customHeight="1">
      <c r="A221" s="37"/>
      <c r="B221" s="28"/>
      <c r="C221" s="28"/>
      <c r="D221" s="28"/>
      <c r="E221" s="3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</row>
    <row r="222" ht="15.75" customHeight="1">
      <c r="A222" s="37"/>
      <c r="B222" s="28"/>
      <c r="C222" s="28"/>
      <c r="D222" s="28"/>
      <c r="E222" s="3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</row>
    <row r="223" ht="15.75" customHeight="1">
      <c r="A223" s="37"/>
      <c r="B223" s="28"/>
      <c r="C223" s="28"/>
      <c r="D223" s="28"/>
      <c r="E223" s="3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</row>
    <row r="224" ht="15.75" customHeight="1">
      <c r="A224" s="37"/>
      <c r="B224" s="28"/>
      <c r="C224" s="28"/>
      <c r="D224" s="28"/>
      <c r="E224" s="3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</row>
    <row r="225" ht="15.75" customHeight="1">
      <c r="A225" s="37"/>
      <c r="B225" s="28"/>
      <c r="C225" s="28"/>
      <c r="D225" s="28"/>
      <c r="E225" s="3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</row>
    <row r="226" ht="15.75" customHeight="1">
      <c r="A226" s="37"/>
      <c r="B226" s="28"/>
      <c r="C226" s="28"/>
      <c r="D226" s="28"/>
      <c r="E226" s="3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ht="15.75" customHeight="1">
      <c r="A227" s="37"/>
      <c r="B227" s="28"/>
      <c r="C227" s="28"/>
      <c r="D227" s="28"/>
      <c r="E227" s="3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</row>
    <row r="228" ht="15.75" customHeight="1">
      <c r="A228" s="37"/>
      <c r="B228" s="28"/>
      <c r="C228" s="28"/>
      <c r="D228" s="28"/>
      <c r="E228" s="3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</row>
    <row r="229" ht="15.75" customHeight="1">
      <c r="A229" s="37"/>
      <c r="B229" s="28"/>
      <c r="C229" s="28"/>
      <c r="D229" s="28"/>
      <c r="E229" s="3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</row>
    <row r="230" ht="15.75" customHeight="1">
      <c r="A230" s="37"/>
      <c r="B230" s="28"/>
      <c r="C230" s="28"/>
      <c r="D230" s="28"/>
      <c r="E230" s="3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</row>
    <row r="231" ht="15.75" customHeight="1">
      <c r="A231" s="37"/>
      <c r="B231" s="28"/>
      <c r="C231" s="28"/>
      <c r="D231" s="28"/>
      <c r="E231" s="3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</row>
    <row r="232" ht="15.75" customHeight="1">
      <c r="A232" s="37"/>
      <c r="B232" s="28"/>
      <c r="C232" s="28"/>
      <c r="D232" s="28"/>
      <c r="E232" s="3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</row>
    <row r="233" ht="15.75" customHeight="1">
      <c r="A233" s="37"/>
      <c r="B233" s="28"/>
      <c r="C233" s="28"/>
      <c r="D233" s="28"/>
      <c r="E233" s="3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</row>
    <row r="234" ht="15.75" customHeight="1">
      <c r="A234" s="37"/>
      <c r="B234" s="28"/>
      <c r="C234" s="28"/>
      <c r="D234" s="28"/>
      <c r="E234" s="3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</row>
    <row r="235" ht="15.75" customHeight="1">
      <c r="A235" s="37"/>
      <c r="B235" s="28"/>
      <c r="C235" s="28"/>
      <c r="D235" s="28"/>
      <c r="E235" s="3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</row>
    <row r="236" ht="15.75" customHeight="1">
      <c r="A236" s="37"/>
      <c r="B236" s="28"/>
      <c r="C236" s="28"/>
      <c r="D236" s="28"/>
      <c r="E236" s="3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</row>
    <row r="237" ht="15.75" customHeight="1">
      <c r="A237" s="37"/>
      <c r="B237" s="28"/>
      <c r="C237" s="28"/>
      <c r="D237" s="28"/>
      <c r="E237" s="3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</row>
    <row r="238" ht="15.75" customHeight="1">
      <c r="A238" s="37"/>
      <c r="B238" s="28"/>
      <c r="C238" s="28"/>
      <c r="D238" s="28"/>
      <c r="E238" s="3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</row>
    <row r="239" ht="15.75" customHeight="1">
      <c r="A239" s="37"/>
      <c r="B239" s="28"/>
      <c r="C239" s="28"/>
      <c r="D239" s="28"/>
      <c r="E239" s="3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</row>
    <row r="240" ht="15.75" customHeight="1">
      <c r="A240" s="37"/>
      <c r="B240" s="28"/>
      <c r="C240" s="28"/>
      <c r="D240" s="28"/>
      <c r="E240" s="3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</row>
    <row r="241" ht="15.75" customHeight="1">
      <c r="A241" s="37"/>
      <c r="B241" s="28"/>
      <c r="C241" s="28"/>
      <c r="D241" s="28"/>
      <c r="E241" s="3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</row>
    <row r="242" ht="15.75" customHeight="1">
      <c r="A242" s="37"/>
      <c r="B242" s="28"/>
      <c r="C242" s="28"/>
      <c r="D242" s="28"/>
      <c r="E242" s="3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</row>
    <row r="243" ht="15.75" customHeight="1">
      <c r="A243" s="37"/>
      <c r="B243" s="28"/>
      <c r="C243" s="28"/>
      <c r="D243" s="28"/>
      <c r="E243" s="3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</row>
    <row r="244" ht="15.75" customHeight="1">
      <c r="A244" s="37"/>
      <c r="B244" s="28"/>
      <c r="C244" s="28"/>
      <c r="D244" s="28"/>
      <c r="E244" s="3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</row>
    <row r="245" ht="15.75" customHeight="1">
      <c r="A245" s="37"/>
      <c r="B245" s="28"/>
      <c r="C245" s="28"/>
      <c r="D245" s="28"/>
      <c r="E245" s="3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</row>
    <row r="246" ht="15.75" customHeight="1">
      <c r="A246" s="37"/>
      <c r="B246" s="28"/>
      <c r="C246" s="28"/>
      <c r="D246" s="28"/>
      <c r="E246" s="3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</row>
    <row r="247" ht="15.75" customHeight="1">
      <c r="A247" s="37"/>
      <c r="B247" s="28"/>
      <c r="C247" s="28"/>
      <c r="D247" s="28"/>
      <c r="E247" s="3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</row>
    <row r="248" ht="15.75" customHeight="1">
      <c r="A248" s="37"/>
      <c r="B248" s="28"/>
      <c r="C248" s="28"/>
      <c r="D248" s="28"/>
      <c r="E248" s="3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</row>
    <row r="249" ht="15.75" customHeight="1">
      <c r="A249" s="37"/>
      <c r="B249" s="28"/>
      <c r="C249" s="28"/>
      <c r="D249" s="28"/>
      <c r="E249" s="3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</row>
    <row r="250" ht="15.75" customHeight="1">
      <c r="A250" s="37"/>
      <c r="B250" s="28"/>
      <c r="C250" s="28"/>
      <c r="D250" s="28"/>
      <c r="E250" s="3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</row>
    <row r="251" ht="15.75" customHeight="1">
      <c r="A251" s="37"/>
      <c r="B251" s="28"/>
      <c r="C251" s="28"/>
      <c r="D251" s="28"/>
      <c r="E251" s="3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</row>
    <row r="252" ht="15.75" customHeight="1">
      <c r="A252" s="37"/>
      <c r="B252" s="28"/>
      <c r="C252" s="28"/>
      <c r="D252" s="28"/>
      <c r="E252" s="3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</row>
    <row r="253" ht="15.75" customHeight="1">
      <c r="A253" s="37"/>
      <c r="B253" s="28"/>
      <c r="C253" s="28"/>
      <c r="D253" s="28"/>
      <c r="E253" s="3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</row>
    <row r="254" ht="15.75" customHeight="1">
      <c r="A254" s="37"/>
      <c r="B254" s="28"/>
      <c r="C254" s="28"/>
      <c r="D254" s="28"/>
      <c r="E254" s="3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</row>
    <row r="255" ht="15.75" customHeight="1">
      <c r="A255" s="37"/>
      <c r="B255" s="28"/>
      <c r="C255" s="28"/>
      <c r="D255" s="28"/>
      <c r="E255" s="3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</row>
    <row r="256" ht="15.75" customHeight="1">
      <c r="A256" s="37"/>
      <c r="B256" s="28"/>
      <c r="C256" s="28"/>
      <c r="D256" s="28"/>
      <c r="E256" s="3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</row>
    <row r="257" ht="15.75" customHeight="1">
      <c r="A257" s="37"/>
      <c r="B257" s="28"/>
      <c r="C257" s="28"/>
      <c r="D257" s="28"/>
      <c r="E257" s="3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</row>
    <row r="258" ht="15.75" customHeight="1">
      <c r="A258" s="37"/>
      <c r="B258" s="28"/>
      <c r="C258" s="28"/>
      <c r="D258" s="28"/>
      <c r="E258" s="3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</row>
    <row r="259" ht="15.75" customHeight="1">
      <c r="A259" s="37"/>
      <c r="B259" s="28"/>
      <c r="C259" s="28"/>
      <c r="D259" s="28"/>
      <c r="E259" s="3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</row>
    <row r="260" ht="15.75" customHeight="1">
      <c r="A260" s="37"/>
      <c r="B260" s="28"/>
      <c r="C260" s="28"/>
      <c r="D260" s="28"/>
      <c r="E260" s="3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</row>
    <row r="261" ht="15.75" customHeight="1">
      <c r="A261" s="37"/>
      <c r="B261" s="28"/>
      <c r="C261" s="28"/>
      <c r="D261" s="28"/>
      <c r="E261" s="3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</row>
    <row r="262" ht="15.75" customHeight="1">
      <c r="A262" s="37"/>
      <c r="B262" s="28"/>
      <c r="C262" s="28"/>
      <c r="D262" s="28"/>
      <c r="E262" s="3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</row>
    <row r="263" ht="15.75" customHeight="1">
      <c r="A263" s="37"/>
      <c r="B263" s="28"/>
      <c r="C263" s="28"/>
      <c r="D263" s="28"/>
      <c r="E263" s="3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</row>
    <row r="264" ht="15.75" customHeight="1">
      <c r="A264" s="37"/>
      <c r="B264" s="28"/>
      <c r="C264" s="28"/>
      <c r="D264" s="28"/>
      <c r="E264" s="3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</row>
    <row r="265" ht="15.75" customHeight="1">
      <c r="A265" s="37"/>
      <c r="B265" s="28"/>
      <c r="C265" s="28"/>
      <c r="D265" s="28"/>
      <c r="E265" s="3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</row>
    <row r="266" ht="15.75" customHeight="1">
      <c r="A266" s="37"/>
      <c r="B266" s="28"/>
      <c r="C266" s="28"/>
      <c r="D266" s="28"/>
      <c r="E266" s="3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</row>
    <row r="267" ht="15.75" customHeight="1">
      <c r="A267" s="37"/>
      <c r="B267" s="28"/>
      <c r="C267" s="28"/>
      <c r="D267" s="28"/>
      <c r="E267" s="3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</row>
    <row r="268" ht="15.75" customHeight="1">
      <c r="A268" s="37"/>
      <c r="B268" s="28"/>
      <c r="C268" s="28"/>
      <c r="D268" s="28"/>
      <c r="E268" s="3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</row>
    <row r="269" ht="15.75" customHeight="1">
      <c r="A269" s="37"/>
      <c r="B269" s="28"/>
      <c r="C269" s="28"/>
      <c r="D269" s="28"/>
      <c r="E269" s="3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</row>
    <row r="270" ht="15.75" customHeight="1">
      <c r="A270" s="37"/>
      <c r="B270" s="28"/>
      <c r="C270" s="28"/>
      <c r="D270" s="28"/>
      <c r="E270" s="3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</row>
    <row r="271" ht="15.75" customHeight="1">
      <c r="A271" s="37"/>
      <c r="B271" s="28"/>
      <c r="C271" s="28"/>
      <c r="D271" s="28"/>
      <c r="E271" s="3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</row>
    <row r="272" ht="15.75" customHeight="1">
      <c r="A272" s="37"/>
      <c r="B272" s="28"/>
      <c r="C272" s="28"/>
      <c r="D272" s="28"/>
      <c r="E272" s="3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</row>
    <row r="273" ht="15.75" customHeight="1">
      <c r="A273" s="37"/>
      <c r="B273" s="28"/>
      <c r="C273" s="28"/>
      <c r="D273" s="28"/>
      <c r="E273" s="3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</row>
    <row r="274" ht="15.75" customHeight="1">
      <c r="A274" s="37"/>
      <c r="B274" s="28"/>
      <c r="C274" s="28"/>
      <c r="D274" s="28"/>
      <c r="E274" s="3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</row>
    <row r="275" ht="15.75" customHeight="1">
      <c r="A275" s="37"/>
      <c r="B275" s="28"/>
      <c r="C275" s="28"/>
      <c r="D275" s="28"/>
      <c r="E275" s="3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</row>
    <row r="276" ht="15.75" customHeight="1">
      <c r="A276" s="37"/>
      <c r="B276" s="28"/>
      <c r="C276" s="28"/>
      <c r="D276" s="28"/>
      <c r="E276" s="3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</row>
    <row r="277" ht="15.75" customHeight="1">
      <c r="A277" s="37"/>
      <c r="B277" s="28"/>
      <c r="C277" s="28"/>
      <c r="D277" s="28"/>
      <c r="E277" s="3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</row>
    <row r="278" ht="15.75" customHeight="1">
      <c r="A278" s="37"/>
      <c r="B278" s="28"/>
      <c r="C278" s="28"/>
      <c r="D278" s="28"/>
      <c r="E278" s="3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</row>
    <row r="279" ht="15.75" customHeight="1">
      <c r="A279" s="37"/>
      <c r="B279" s="28"/>
      <c r="C279" s="28"/>
      <c r="D279" s="28"/>
      <c r="E279" s="3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</row>
    <row r="280" ht="15.75" customHeight="1">
      <c r="A280" s="37"/>
      <c r="B280" s="28"/>
      <c r="C280" s="28"/>
      <c r="D280" s="28"/>
      <c r="E280" s="3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</row>
    <row r="281" ht="15.75" customHeight="1">
      <c r="A281" s="37"/>
      <c r="B281" s="28"/>
      <c r="C281" s="28"/>
      <c r="D281" s="28"/>
      <c r="E281" s="3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</row>
    <row r="282" ht="15.75" customHeight="1">
      <c r="A282" s="37"/>
      <c r="B282" s="28"/>
      <c r="C282" s="28"/>
      <c r="D282" s="28"/>
      <c r="E282" s="3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</row>
    <row r="283" ht="15.75" customHeight="1">
      <c r="A283" s="37"/>
      <c r="B283" s="28"/>
      <c r="C283" s="28"/>
      <c r="D283" s="28"/>
      <c r="E283" s="3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</row>
    <row r="284" ht="15.75" customHeight="1">
      <c r="A284" s="37"/>
      <c r="B284" s="28"/>
      <c r="C284" s="28"/>
      <c r="D284" s="28"/>
      <c r="E284" s="3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</row>
    <row r="285" ht="15.75" customHeight="1">
      <c r="A285" s="37"/>
      <c r="B285" s="28"/>
      <c r="C285" s="28"/>
      <c r="D285" s="28"/>
      <c r="E285" s="3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</row>
    <row r="286" ht="15.75" customHeight="1">
      <c r="A286" s="37"/>
      <c r="B286" s="28"/>
      <c r="C286" s="28"/>
      <c r="D286" s="28"/>
      <c r="E286" s="3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</row>
    <row r="287" ht="15.75" customHeight="1">
      <c r="A287" s="37"/>
      <c r="B287" s="28"/>
      <c r="C287" s="28"/>
      <c r="D287" s="28"/>
      <c r="E287" s="3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</row>
    <row r="288" ht="15.75" customHeight="1">
      <c r="A288" s="37"/>
      <c r="B288" s="28"/>
      <c r="C288" s="28"/>
      <c r="D288" s="28"/>
      <c r="E288" s="3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</row>
    <row r="289" ht="15.75" customHeight="1">
      <c r="A289" s="37"/>
      <c r="B289" s="28"/>
      <c r="C289" s="28"/>
      <c r="D289" s="28"/>
      <c r="E289" s="3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</row>
    <row r="290" ht="15.75" customHeight="1">
      <c r="A290" s="37"/>
      <c r="B290" s="28"/>
      <c r="C290" s="28"/>
      <c r="D290" s="28"/>
      <c r="E290" s="3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</row>
    <row r="291" ht="15.75" customHeight="1">
      <c r="A291" s="37"/>
      <c r="B291" s="28"/>
      <c r="C291" s="28"/>
      <c r="D291" s="28"/>
      <c r="E291" s="3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</row>
    <row r="292" ht="15.75" customHeight="1">
      <c r="A292" s="37"/>
      <c r="B292" s="28"/>
      <c r="C292" s="28"/>
      <c r="D292" s="28"/>
      <c r="E292" s="3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</row>
    <row r="293" ht="15.75" customHeight="1">
      <c r="A293" s="37"/>
      <c r="B293" s="28"/>
      <c r="C293" s="28"/>
      <c r="D293" s="28"/>
      <c r="E293" s="3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</row>
    <row r="294" ht="15.75" customHeight="1">
      <c r="A294" s="37"/>
      <c r="B294" s="28"/>
      <c r="C294" s="28"/>
      <c r="D294" s="28"/>
      <c r="E294" s="3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</row>
    <row r="295" ht="15.75" customHeight="1">
      <c r="A295" s="37"/>
      <c r="B295" s="28"/>
      <c r="C295" s="28"/>
      <c r="D295" s="28"/>
      <c r="E295" s="3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</row>
    <row r="296" ht="15.75" customHeight="1">
      <c r="A296" s="37"/>
      <c r="B296" s="28"/>
      <c r="C296" s="28"/>
      <c r="D296" s="28"/>
      <c r="E296" s="3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</row>
    <row r="297" ht="15.75" customHeight="1">
      <c r="A297" s="37"/>
      <c r="B297" s="28"/>
      <c r="C297" s="28"/>
      <c r="D297" s="28"/>
      <c r="E297" s="3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</row>
    <row r="298" ht="15.75" customHeight="1">
      <c r="A298" s="37"/>
      <c r="B298" s="28"/>
      <c r="C298" s="28"/>
      <c r="D298" s="28"/>
      <c r="E298" s="3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</row>
    <row r="299" ht="15.75" customHeight="1">
      <c r="A299" s="37"/>
      <c r="B299" s="28"/>
      <c r="C299" s="28"/>
      <c r="D299" s="28"/>
      <c r="E299" s="3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</row>
    <row r="300" ht="15.75" customHeight="1">
      <c r="A300" s="37"/>
      <c r="B300" s="28"/>
      <c r="C300" s="28"/>
      <c r="D300" s="28"/>
      <c r="E300" s="3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</row>
    <row r="301" ht="15.75" customHeight="1">
      <c r="A301" s="37"/>
      <c r="B301" s="28"/>
      <c r="C301" s="28"/>
      <c r="D301" s="28"/>
      <c r="E301" s="3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</row>
    <row r="302" ht="15.75" customHeight="1">
      <c r="A302" s="37"/>
      <c r="B302" s="28"/>
      <c r="C302" s="28"/>
      <c r="D302" s="28"/>
      <c r="E302" s="3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</row>
    <row r="303" ht="15.75" customHeight="1">
      <c r="A303" s="37"/>
      <c r="B303" s="28"/>
      <c r="C303" s="28"/>
      <c r="D303" s="28"/>
      <c r="E303" s="3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</row>
    <row r="304" ht="15.75" customHeight="1">
      <c r="A304" s="37"/>
      <c r="B304" s="28"/>
      <c r="C304" s="28"/>
      <c r="D304" s="28"/>
      <c r="E304" s="3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</row>
    <row r="305" ht="15.75" customHeight="1">
      <c r="A305" s="37"/>
      <c r="B305" s="28"/>
      <c r="C305" s="28"/>
      <c r="D305" s="28"/>
      <c r="E305" s="3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</row>
    <row r="306" ht="15.75" customHeight="1">
      <c r="A306" s="37"/>
      <c r="B306" s="28"/>
      <c r="C306" s="28"/>
      <c r="D306" s="28"/>
      <c r="E306" s="3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</row>
    <row r="307" ht="15.75" customHeight="1">
      <c r="A307" s="37"/>
      <c r="B307" s="28"/>
      <c r="C307" s="28"/>
      <c r="D307" s="28"/>
      <c r="E307" s="3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</row>
    <row r="308" ht="15.75" customHeight="1">
      <c r="A308" s="37"/>
      <c r="B308" s="28"/>
      <c r="C308" s="28"/>
      <c r="D308" s="28"/>
      <c r="E308" s="3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</row>
    <row r="309" ht="15.75" customHeight="1">
      <c r="A309" s="37"/>
      <c r="B309" s="28"/>
      <c r="C309" s="28"/>
      <c r="D309" s="28"/>
      <c r="E309" s="3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</row>
    <row r="310" ht="15.75" customHeight="1">
      <c r="A310" s="37"/>
      <c r="B310" s="28"/>
      <c r="C310" s="28"/>
      <c r="D310" s="28"/>
      <c r="E310" s="3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</row>
    <row r="311" ht="15.75" customHeight="1">
      <c r="A311" s="37"/>
      <c r="B311" s="28"/>
      <c r="C311" s="28"/>
      <c r="D311" s="28"/>
      <c r="E311" s="3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</row>
    <row r="312" ht="15.75" customHeight="1">
      <c r="A312" s="37"/>
      <c r="B312" s="28"/>
      <c r="C312" s="28"/>
      <c r="D312" s="28"/>
      <c r="E312" s="3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</row>
    <row r="313" ht="15.75" customHeight="1">
      <c r="A313" s="37"/>
      <c r="B313" s="28"/>
      <c r="C313" s="28"/>
      <c r="D313" s="28"/>
      <c r="E313" s="3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</row>
    <row r="314" ht="15.75" customHeight="1">
      <c r="A314" s="37"/>
      <c r="B314" s="28"/>
      <c r="C314" s="28"/>
      <c r="D314" s="28"/>
      <c r="E314" s="3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</row>
    <row r="315" ht="15.75" customHeight="1">
      <c r="A315" s="37"/>
      <c r="B315" s="28"/>
      <c r="C315" s="28"/>
      <c r="D315" s="28"/>
      <c r="E315" s="3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</row>
    <row r="316" ht="15.75" customHeight="1">
      <c r="A316" s="37"/>
      <c r="B316" s="28"/>
      <c r="C316" s="28"/>
      <c r="D316" s="28"/>
      <c r="E316" s="3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</row>
    <row r="317" ht="15.75" customHeight="1">
      <c r="A317" s="37"/>
      <c r="B317" s="28"/>
      <c r="C317" s="28"/>
      <c r="D317" s="28"/>
      <c r="E317" s="3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</row>
    <row r="318" ht="15.75" customHeight="1">
      <c r="A318" s="37"/>
      <c r="B318" s="28"/>
      <c r="C318" s="28"/>
      <c r="D318" s="28"/>
      <c r="E318" s="3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</row>
    <row r="319" ht="15.75" customHeight="1">
      <c r="A319" s="37"/>
      <c r="B319" s="28"/>
      <c r="C319" s="28"/>
      <c r="D319" s="28"/>
      <c r="E319" s="3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</row>
    <row r="320" ht="15.75" customHeight="1">
      <c r="A320" s="37"/>
      <c r="B320" s="28"/>
      <c r="C320" s="28"/>
      <c r="D320" s="28"/>
      <c r="E320" s="3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</row>
    <row r="321" ht="15.75" customHeight="1">
      <c r="A321" s="37"/>
      <c r="B321" s="28"/>
      <c r="C321" s="28"/>
      <c r="D321" s="28"/>
      <c r="E321" s="3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</row>
    <row r="322" ht="15.75" customHeight="1">
      <c r="A322" s="37"/>
      <c r="B322" s="28"/>
      <c r="C322" s="28"/>
      <c r="D322" s="28"/>
      <c r="E322" s="3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</row>
    <row r="323" ht="15.75" customHeight="1">
      <c r="A323" s="37"/>
      <c r="B323" s="28"/>
      <c r="C323" s="28"/>
      <c r="D323" s="28"/>
      <c r="E323" s="3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</row>
    <row r="324" ht="15.75" customHeight="1">
      <c r="A324" s="37"/>
      <c r="B324" s="28"/>
      <c r="C324" s="28"/>
      <c r="D324" s="28"/>
      <c r="E324" s="3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</row>
    <row r="325" ht="15.75" customHeight="1">
      <c r="A325" s="37"/>
      <c r="B325" s="28"/>
      <c r="C325" s="28"/>
      <c r="D325" s="28"/>
      <c r="E325" s="3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</row>
    <row r="326" ht="15.75" customHeight="1">
      <c r="A326" s="37"/>
      <c r="B326" s="28"/>
      <c r="C326" s="28"/>
      <c r="D326" s="28"/>
      <c r="E326" s="3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</row>
    <row r="327" ht="15.75" customHeight="1">
      <c r="A327" s="37"/>
      <c r="B327" s="28"/>
      <c r="C327" s="28"/>
      <c r="D327" s="28"/>
      <c r="E327" s="3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</row>
    <row r="328" ht="15.75" customHeight="1">
      <c r="A328" s="37"/>
      <c r="B328" s="28"/>
      <c r="C328" s="28"/>
      <c r="D328" s="28"/>
      <c r="E328" s="3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</row>
    <row r="329" ht="15.75" customHeight="1">
      <c r="A329" s="37"/>
      <c r="B329" s="28"/>
      <c r="C329" s="28"/>
      <c r="D329" s="28"/>
      <c r="E329" s="3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</row>
    <row r="330" ht="15.75" customHeight="1">
      <c r="A330" s="37"/>
      <c r="B330" s="28"/>
      <c r="C330" s="28"/>
      <c r="D330" s="28"/>
      <c r="E330" s="3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</row>
    <row r="331" ht="15.75" customHeight="1">
      <c r="A331" s="37"/>
      <c r="B331" s="28"/>
      <c r="C331" s="28"/>
      <c r="D331" s="28"/>
      <c r="E331" s="3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</row>
    <row r="332" ht="15.75" customHeight="1">
      <c r="A332" s="37"/>
      <c r="B332" s="28"/>
      <c r="C332" s="28"/>
      <c r="D332" s="28"/>
      <c r="E332" s="3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</row>
    <row r="333" ht="15.75" customHeight="1">
      <c r="A333" s="37"/>
      <c r="B333" s="28"/>
      <c r="C333" s="28"/>
      <c r="D333" s="28"/>
      <c r="E333" s="3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</row>
    <row r="334" ht="15.75" customHeight="1">
      <c r="A334" s="37"/>
      <c r="B334" s="28"/>
      <c r="C334" s="28"/>
      <c r="D334" s="28"/>
      <c r="E334" s="3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</row>
    <row r="335" ht="15.75" customHeight="1">
      <c r="A335" s="37"/>
      <c r="B335" s="28"/>
      <c r="C335" s="28"/>
      <c r="D335" s="28"/>
      <c r="E335" s="3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</row>
    <row r="336" ht="15.75" customHeight="1">
      <c r="A336" s="37"/>
      <c r="B336" s="28"/>
      <c r="C336" s="28"/>
      <c r="D336" s="28"/>
      <c r="E336" s="3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</row>
    <row r="337" ht="15.75" customHeight="1">
      <c r="A337" s="37"/>
      <c r="B337" s="28"/>
      <c r="C337" s="28"/>
      <c r="D337" s="28"/>
      <c r="E337" s="3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</row>
    <row r="338" ht="15.75" customHeight="1">
      <c r="A338" s="37"/>
      <c r="B338" s="28"/>
      <c r="C338" s="28"/>
      <c r="D338" s="28"/>
      <c r="E338" s="3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</row>
    <row r="339" ht="15.75" customHeight="1">
      <c r="A339" s="37"/>
      <c r="B339" s="28"/>
      <c r="C339" s="28"/>
      <c r="D339" s="28"/>
      <c r="E339" s="3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</row>
    <row r="340" ht="15.75" customHeight="1">
      <c r="A340" s="37"/>
      <c r="B340" s="28"/>
      <c r="C340" s="28"/>
      <c r="D340" s="28"/>
      <c r="E340" s="3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</row>
    <row r="341" ht="15.75" customHeight="1">
      <c r="A341" s="37"/>
      <c r="B341" s="28"/>
      <c r="C341" s="28"/>
      <c r="D341" s="28"/>
      <c r="E341" s="3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ht="15.75" customHeight="1">
      <c r="A342" s="37"/>
      <c r="B342" s="28"/>
      <c r="C342" s="28"/>
      <c r="D342" s="28"/>
      <c r="E342" s="3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ht="15.75" customHeight="1">
      <c r="A343" s="37"/>
      <c r="B343" s="28"/>
      <c r="C343" s="28"/>
      <c r="D343" s="28"/>
      <c r="E343" s="3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ht="15.75" customHeight="1">
      <c r="A344" s="37"/>
      <c r="B344" s="28"/>
      <c r="C344" s="28"/>
      <c r="D344" s="28"/>
      <c r="E344" s="3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ht="15.75" customHeight="1">
      <c r="A345" s="37"/>
      <c r="B345" s="28"/>
      <c r="C345" s="28"/>
      <c r="D345" s="28"/>
      <c r="E345" s="3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ht="15.75" customHeight="1">
      <c r="A346" s="37"/>
      <c r="B346" s="28"/>
      <c r="C346" s="28"/>
      <c r="D346" s="28"/>
      <c r="E346" s="3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ht="15.75" customHeight="1">
      <c r="A347" s="37"/>
      <c r="B347" s="28"/>
      <c r="C347" s="28"/>
      <c r="D347" s="28"/>
      <c r="E347" s="3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ht="15.75" customHeight="1">
      <c r="A348" s="37"/>
      <c r="B348" s="28"/>
      <c r="C348" s="28"/>
      <c r="D348" s="28"/>
      <c r="E348" s="3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ht="15.75" customHeight="1">
      <c r="A349" s="37"/>
      <c r="B349" s="28"/>
      <c r="C349" s="28"/>
      <c r="D349" s="28"/>
      <c r="E349" s="3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ht="15.75" customHeight="1">
      <c r="A350" s="37"/>
      <c r="B350" s="28"/>
      <c r="C350" s="28"/>
      <c r="D350" s="28"/>
      <c r="E350" s="3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ht="15.75" customHeight="1">
      <c r="A351" s="37"/>
      <c r="B351" s="28"/>
      <c r="C351" s="28"/>
      <c r="D351" s="28"/>
      <c r="E351" s="3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ht="15.75" customHeight="1">
      <c r="A352" s="37"/>
      <c r="B352" s="28"/>
      <c r="C352" s="28"/>
      <c r="D352" s="28"/>
      <c r="E352" s="3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ht="15.75" customHeight="1">
      <c r="A353" s="37"/>
      <c r="B353" s="28"/>
      <c r="C353" s="28"/>
      <c r="D353" s="28"/>
      <c r="E353" s="3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ht="15.75" customHeight="1">
      <c r="A354" s="37"/>
      <c r="B354" s="28"/>
      <c r="C354" s="28"/>
      <c r="D354" s="28"/>
      <c r="E354" s="3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ht="15.75" customHeight="1">
      <c r="A355" s="37"/>
      <c r="B355" s="28"/>
      <c r="C355" s="28"/>
      <c r="D355" s="28"/>
      <c r="E355" s="3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ht="15.75" customHeight="1">
      <c r="A356" s="37"/>
      <c r="B356" s="28"/>
      <c r="C356" s="28"/>
      <c r="D356" s="28"/>
      <c r="E356" s="3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ht="15.75" customHeight="1">
      <c r="A357" s="37"/>
      <c r="B357" s="28"/>
      <c r="C357" s="28"/>
      <c r="D357" s="28"/>
      <c r="E357" s="3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ht="15.75" customHeight="1">
      <c r="A358" s="37"/>
      <c r="B358" s="28"/>
      <c r="C358" s="28"/>
      <c r="D358" s="28"/>
      <c r="E358" s="3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ht="15.75" customHeight="1">
      <c r="A359" s="37"/>
      <c r="B359" s="28"/>
      <c r="C359" s="28"/>
      <c r="D359" s="28"/>
      <c r="E359" s="3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ht="15.75" customHeight="1">
      <c r="A360" s="37"/>
      <c r="B360" s="28"/>
      <c r="C360" s="28"/>
      <c r="D360" s="28"/>
      <c r="E360" s="3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ht="15.75" customHeight="1">
      <c r="A361" s="37"/>
      <c r="B361" s="28"/>
      <c r="C361" s="28"/>
      <c r="D361" s="28"/>
      <c r="E361" s="3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ht="15.75" customHeight="1">
      <c r="A362" s="37"/>
      <c r="B362" s="28"/>
      <c r="C362" s="28"/>
      <c r="D362" s="28"/>
      <c r="E362" s="3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ht="15.75" customHeight="1">
      <c r="A363" s="37"/>
      <c r="B363" s="28"/>
      <c r="C363" s="28"/>
      <c r="D363" s="28"/>
      <c r="E363" s="3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ht="15.75" customHeight="1">
      <c r="A364" s="37"/>
      <c r="B364" s="28"/>
      <c r="C364" s="28"/>
      <c r="D364" s="28"/>
      <c r="E364" s="3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ht="15.75" customHeight="1">
      <c r="A365" s="37"/>
      <c r="B365" s="28"/>
      <c r="C365" s="28"/>
      <c r="D365" s="28"/>
      <c r="E365" s="3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ht="15.75" customHeight="1">
      <c r="A366" s="37"/>
      <c r="B366" s="28"/>
      <c r="C366" s="28"/>
      <c r="D366" s="28"/>
      <c r="E366" s="3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ht="15.75" customHeight="1">
      <c r="A367" s="37"/>
      <c r="B367" s="28"/>
      <c r="C367" s="28"/>
      <c r="D367" s="28"/>
      <c r="E367" s="3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ht="15.75" customHeight="1">
      <c r="A368" s="37"/>
      <c r="B368" s="28"/>
      <c r="C368" s="28"/>
      <c r="D368" s="28"/>
      <c r="E368" s="3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ht="15.75" customHeight="1">
      <c r="A369" s="37"/>
      <c r="B369" s="28"/>
      <c r="C369" s="28"/>
      <c r="D369" s="28"/>
      <c r="E369" s="3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ht="15.75" customHeight="1">
      <c r="A370" s="37"/>
      <c r="B370" s="28"/>
      <c r="C370" s="28"/>
      <c r="D370" s="28"/>
      <c r="E370" s="3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ht="15.75" customHeight="1">
      <c r="A371" s="37"/>
      <c r="B371" s="28"/>
      <c r="C371" s="28"/>
      <c r="D371" s="28"/>
      <c r="E371" s="3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ht="15.75" customHeight="1">
      <c r="A372" s="37"/>
      <c r="B372" s="28"/>
      <c r="C372" s="28"/>
      <c r="D372" s="28"/>
      <c r="E372" s="3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ht="15.75" customHeight="1">
      <c r="A373" s="37"/>
      <c r="B373" s="28"/>
      <c r="C373" s="28"/>
      <c r="D373" s="28"/>
      <c r="E373" s="3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ht="15.75" customHeight="1">
      <c r="A374" s="37"/>
      <c r="B374" s="28"/>
      <c r="C374" s="28"/>
      <c r="D374" s="28"/>
      <c r="E374" s="3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ht="15.75" customHeight="1">
      <c r="A375" s="37"/>
      <c r="B375" s="28"/>
      <c r="C375" s="28"/>
      <c r="D375" s="28"/>
      <c r="E375" s="3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ht="15.75" customHeight="1">
      <c r="A376" s="37"/>
      <c r="B376" s="28"/>
      <c r="C376" s="28"/>
      <c r="D376" s="28"/>
      <c r="E376" s="3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ht="15.75" customHeight="1">
      <c r="A377" s="37"/>
      <c r="B377" s="28"/>
      <c r="C377" s="28"/>
      <c r="D377" s="28"/>
      <c r="E377" s="3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ht="15.75" customHeight="1">
      <c r="A378" s="37"/>
      <c r="B378" s="28"/>
      <c r="C378" s="28"/>
      <c r="D378" s="28"/>
      <c r="E378" s="3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ht="15.75" customHeight="1">
      <c r="A379" s="37"/>
      <c r="B379" s="28"/>
      <c r="C379" s="28"/>
      <c r="D379" s="28"/>
      <c r="E379" s="3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ht="15.75" customHeight="1">
      <c r="A380" s="37"/>
      <c r="B380" s="28"/>
      <c r="C380" s="28"/>
      <c r="D380" s="28"/>
      <c r="E380" s="3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ht="15.75" customHeight="1">
      <c r="A381" s="37"/>
      <c r="B381" s="28"/>
      <c r="C381" s="28"/>
      <c r="D381" s="28"/>
      <c r="E381" s="3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ht="15.75" customHeight="1">
      <c r="A382" s="37"/>
      <c r="B382" s="28"/>
      <c r="C382" s="28"/>
      <c r="D382" s="28"/>
      <c r="E382" s="3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ht="15.75" customHeight="1">
      <c r="A383" s="37"/>
      <c r="B383" s="28"/>
      <c r="C383" s="28"/>
      <c r="D383" s="28"/>
      <c r="E383" s="3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ht="15.75" customHeight="1">
      <c r="A384" s="37"/>
      <c r="B384" s="28"/>
      <c r="C384" s="28"/>
      <c r="D384" s="28"/>
      <c r="E384" s="3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ht="15.75" customHeight="1">
      <c r="A385" s="37"/>
      <c r="B385" s="28"/>
      <c r="C385" s="28"/>
      <c r="D385" s="28"/>
      <c r="E385" s="3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ht="15.75" customHeight="1">
      <c r="A386" s="37"/>
      <c r="B386" s="28"/>
      <c r="C386" s="28"/>
      <c r="D386" s="28"/>
      <c r="E386" s="3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ht="15.75" customHeight="1">
      <c r="A387" s="37"/>
      <c r="B387" s="28"/>
      <c r="C387" s="28"/>
      <c r="D387" s="28"/>
      <c r="E387" s="3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ht="15.75" customHeight="1">
      <c r="A388" s="37"/>
      <c r="B388" s="28"/>
      <c r="C388" s="28"/>
      <c r="D388" s="28"/>
      <c r="E388" s="3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ht="15.75" customHeight="1">
      <c r="A389" s="37"/>
      <c r="B389" s="28"/>
      <c r="C389" s="28"/>
      <c r="D389" s="28"/>
      <c r="E389" s="3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ht="15.75" customHeight="1">
      <c r="A390" s="37"/>
      <c r="B390" s="28"/>
      <c r="C390" s="28"/>
      <c r="D390" s="28"/>
      <c r="E390" s="3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ht="15.75" customHeight="1">
      <c r="A391" s="37"/>
      <c r="B391" s="28"/>
      <c r="C391" s="28"/>
      <c r="D391" s="28"/>
      <c r="E391" s="3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ht="15.75" customHeight="1">
      <c r="A392" s="37"/>
      <c r="B392" s="28"/>
      <c r="C392" s="28"/>
      <c r="D392" s="28"/>
      <c r="E392" s="3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ht="15.75" customHeight="1">
      <c r="A393" s="37"/>
      <c r="B393" s="28"/>
      <c r="C393" s="28"/>
      <c r="D393" s="28"/>
      <c r="E393" s="3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ht="15.75" customHeight="1">
      <c r="A394" s="37"/>
      <c r="B394" s="28"/>
      <c r="C394" s="28"/>
      <c r="D394" s="28"/>
      <c r="E394" s="3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ht="15.75" customHeight="1">
      <c r="A395" s="37"/>
      <c r="B395" s="28"/>
      <c r="C395" s="28"/>
      <c r="D395" s="28"/>
      <c r="E395" s="3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ht="15.75" customHeight="1">
      <c r="A396" s="37"/>
      <c r="B396" s="28"/>
      <c r="C396" s="28"/>
      <c r="D396" s="28"/>
      <c r="E396" s="3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ht="15.75" customHeight="1">
      <c r="A397" s="37"/>
      <c r="B397" s="28"/>
      <c r="C397" s="28"/>
      <c r="D397" s="28"/>
      <c r="E397" s="3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ht="15.75" customHeight="1">
      <c r="A398" s="37"/>
      <c r="B398" s="28"/>
      <c r="C398" s="28"/>
      <c r="D398" s="28"/>
      <c r="E398" s="3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ht="15.75" customHeight="1">
      <c r="A399" s="37"/>
      <c r="B399" s="28"/>
      <c r="C399" s="28"/>
      <c r="D399" s="28"/>
      <c r="E399" s="3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ht="15.75" customHeight="1">
      <c r="A400" s="37"/>
      <c r="B400" s="28"/>
      <c r="C400" s="28"/>
      <c r="D400" s="28"/>
      <c r="E400" s="3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ht="15.75" customHeight="1">
      <c r="A401" s="37"/>
      <c r="B401" s="28"/>
      <c r="C401" s="28"/>
      <c r="D401" s="28"/>
      <c r="E401" s="3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ht="15.75" customHeight="1">
      <c r="A402" s="37"/>
      <c r="B402" s="28"/>
      <c r="C402" s="28"/>
      <c r="D402" s="28"/>
      <c r="E402" s="3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ht="15.75" customHeight="1">
      <c r="A403" s="37"/>
      <c r="B403" s="28"/>
      <c r="C403" s="28"/>
      <c r="D403" s="28"/>
      <c r="E403" s="3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ht="15.75" customHeight="1">
      <c r="A404" s="37"/>
      <c r="B404" s="28"/>
      <c r="C404" s="28"/>
      <c r="D404" s="28"/>
      <c r="E404" s="3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ht="15.75" customHeight="1">
      <c r="A405" s="37"/>
      <c r="B405" s="28"/>
      <c r="C405" s="28"/>
      <c r="D405" s="28"/>
      <c r="E405" s="3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ht="15.75" customHeight="1">
      <c r="A406" s="37"/>
      <c r="B406" s="28"/>
      <c r="C406" s="28"/>
      <c r="D406" s="28"/>
      <c r="E406" s="3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ht="15.75" customHeight="1">
      <c r="A407" s="37"/>
      <c r="B407" s="28"/>
      <c r="C407" s="28"/>
      <c r="D407" s="28"/>
      <c r="E407" s="3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ht="15.75" customHeight="1">
      <c r="A408" s="37"/>
      <c r="B408" s="28"/>
      <c r="C408" s="28"/>
      <c r="D408" s="28"/>
      <c r="E408" s="3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ht="15.75" customHeight="1">
      <c r="A409" s="37"/>
      <c r="B409" s="28"/>
      <c r="C409" s="28"/>
      <c r="D409" s="28"/>
      <c r="E409" s="3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ht="15.75" customHeight="1">
      <c r="A410" s="37"/>
      <c r="B410" s="28"/>
      <c r="C410" s="28"/>
      <c r="D410" s="28"/>
      <c r="E410" s="3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ht="15.75" customHeight="1">
      <c r="A411" s="37"/>
      <c r="B411" s="28"/>
      <c r="C411" s="28"/>
      <c r="D411" s="28"/>
      <c r="E411" s="3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ht="15.75" customHeight="1">
      <c r="A412" s="37"/>
      <c r="B412" s="28"/>
      <c r="C412" s="28"/>
      <c r="D412" s="28"/>
      <c r="E412" s="3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ht="15.75" customHeight="1">
      <c r="A413" s="37"/>
      <c r="B413" s="28"/>
      <c r="C413" s="28"/>
      <c r="D413" s="28"/>
      <c r="E413" s="3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ht="15.75" customHeight="1">
      <c r="A414" s="37"/>
      <c r="B414" s="28"/>
      <c r="C414" s="28"/>
      <c r="D414" s="28"/>
      <c r="E414" s="3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ht="15.75" customHeight="1">
      <c r="A415" s="37"/>
      <c r="B415" s="28"/>
      <c r="C415" s="28"/>
      <c r="D415" s="28"/>
      <c r="E415" s="3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ht="15.75" customHeight="1">
      <c r="A416" s="37"/>
      <c r="B416" s="28"/>
      <c r="C416" s="28"/>
      <c r="D416" s="28"/>
      <c r="E416" s="3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ht="15.75" customHeight="1">
      <c r="A417" s="37"/>
      <c r="B417" s="28"/>
      <c r="C417" s="28"/>
      <c r="D417" s="28"/>
      <c r="E417" s="3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ht="15.75" customHeight="1">
      <c r="A418" s="37"/>
      <c r="B418" s="28"/>
      <c r="C418" s="28"/>
      <c r="D418" s="28"/>
      <c r="E418" s="3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ht="15.75" customHeight="1">
      <c r="A419" s="37"/>
      <c r="B419" s="28"/>
      <c r="C419" s="28"/>
      <c r="D419" s="28"/>
      <c r="E419" s="3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ht="15.75" customHeight="1">
      <c r="A420" s="37"/>
      <c r="B420" s="28"/>
      <c r="C420" s="28"/>
      <c r="D420" s="28"/>
      <c r="E420" s="3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ht="15.75" customHeight="1">
      <c r="A421" s="37"/>
      <c r="B421" s="28"/>
      <c r="C421" s="28"/>
      <c r="D421" s="28"/>
      <c r="E421" s="3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ht="15.75" customHeight="1">
      <c r="A422" s="37"/>
      <c r="B422" s="28"/>
      <c r="C422" s="28"/>
      <c r="D422" s="28"/>
      <c r="E422" s="3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ht="15.75" customHeight="1">
      <c r="A423" s="37"/>
      <c r="B423" s="28"/>
      <c r="C423" s="28"/>
      <c r="D423" s="28"/>
      <c r="E423" s="3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ht="15.75" customHeight="1">
      <c r="A424" s="37"/>
      <c r="B424" s="28"/>
      <c r="C424" s="28"/>
      <c r="D424" s="28"/>
      <c r="E424" s="3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ht="15.75" customHeight="1">
      <c r="A425" s="37"/>
      <c r="B425" s="28"/>
      <c r="C425" s="28"/>
      <c r="D425" s="28"/>
      <c r="E425" s="3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ht="15.75" customHeight="1">
      <c r="A426" s="37"/>
      <c r="B426" s="28"/>
      <c r="C426" s="28"/>
      <c r="D426" s="28"/>
      <c r="E426" s="3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ht="15.75" customHeight="1">
      <c r="A427" s="37"/>
      <c r="B427" s="28"/>
      <c r="C427" s="28"/>
      <c r="D427" s="28"/>
      <c r="E427" s="3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ht="15.75" customHeight="1">
      <c r="A428" s="37"/>
      <c r="B428" s="28"/>
      <c r="C428" s="28"/>
      <c r="D428" s="28"/>
      <c r="E428" s="3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ht="15.75" customHeight="1">
      <c r="A429" s="37"/>
      <c r="B429" s="28"/>
      <c r="C429" s="28"/>
      <c r="D429" s="28"/>
      <c r="E429" s="3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ht="15.75" customHeight="1">
      <c r="A430" s="37"/>
      <c r="B430" s="28"/>
      <c r="C430" s="28"/>
      <c r="D430" s="28"/>
      <c r="E430" s="3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ht="15.75" customHeight="1">
      <c r="A431" s="37"/>
      <c r="B431" s="28"/>
      <c r="C431" s="28"/>
      <c r="D431" s="28"/>
      <c r="E431" s="3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ht="15.75" customHeight="1">
      <c r="A432" s="37"/>
      <c r="B432" s="28"/>
      <c r="C432" s="28"/>
      <c r="D432" s="28"/>
      <c r="E432" s="3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ht="15.75" customHeight="1">
      <c r="A433" s="37"/>
      <c r="B433" s="28"/>
      <c r="C433" s="28"/>
      <c r="D433" s="28"/>
      <c r="E433" s="3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ht="15.75" customHeight="1">
      <c r="A434" s="37"/>
      <c r="B434" s="28"/>
      <c r="C434" s="28"/>
      <c r="D434" s="28"/>
      <c r="E434" s="3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ht="15.75" customHeight="1">
      <c r="A435" s="37"/>
      <c r="B435" s="28"/>
      <c r="C435" s="28"/>
      <c r="D435" s="28"/>
      <c r="E435" s="3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ht="15.75" customHeight="1">
      <c r="A436" s="37"/>
      <c r="B436" s="28"/>
      <c r="C436" s="28"/>
      <c r="D436" s="28"/>
      <c r="E436" s="3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ht="15.75" customHeight="1">
      <c r="A437" s="37"/>
      <c r="B437" s="28"/>
      <c r="C437" s="28"/>
      <c r="D437" s="28"/>
      <c r="E437" s="3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ht="15.75" customHeight="1">
      <c r="A438" s="37"/>
      <c r="B438" s="28"/>
      <c r="C438" s="28"/>
      <c r="D438" s="28"/>
      <c r="E438" s="3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ht="15.75" customHeight="1">
      <c r="A439" s="37"/>
      <c r="B439" s="28"/>
      <c r="C439" s="28"/>
      <c r="D439" s="28"/>
      <c r="E439" s="3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ht="15.75" customHeight="1">
      <c r="A440" s="37"/>
      <c r="B440" s="28"/>
      <c r="C440" s="28"/>
      <c r="D440" s="28"/>
      <c r="E440" s="3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ht="15.75" customHeight="1">
      <c r="A441" s="37"/>
      <c r="B441" s="28"/>
      <c r="C441" s="28"/>
      <c r="D441" s="28"/>
      <c r="E441" s="3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ht="15.75" customHeight="1">
      <c r="A442" s="37"/>
      <c r="B442" s="28"/>
      <c r="C442" s="28"/>
      <c r="D442" s="28"/>
      <c r="E442" s="3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ht="15.75" customHeight="1">
      <c r="A443" s="37"/>
      <c r="B443" s="28"/>
      <c r="C443" s="28"/>
      <c r="D443" s="28"/>
      <c r="E443" s="3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ht="15.75" customHeight="1">
      <c r="A444" s="37"/>
      <c r="B444" s="28"/>
      <c r="C444" s="28"/>
      <c r="D444" s="28"/>
      <c r="E444" s="3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ht="15.75" customHeight="1">
      <c r="A445" s="37"/>
      <c r="B445" s="28"/>
      <c r="C445" s="28"/>
      <c r="D445" s="28"/>
      <c r="E445" s="3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ht="15.75" customHeight="1">
      <c r="A446" s="37"/>
      <c r="B446" s="28"/>
      <c r="C446" s="28"/>
      <c r="D446" s="28"/>
      <c r="E446" s="3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ht="15.75" customHeight="1">
      <c r="A447" s="37"/>
      <c r="B447" s="28"/>
      <c r="C447" s="28"/>
      <c r="D447" s="28"/>
      <c r="E447" s="3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ht="15.75" customHeight="1">
      <c r="A448" s="37"/>
      <c r="B448" s="28"/>
      <c r="C448" s="28"/>
      <c r="D448" s="28"/>
      <c r="E448" s="3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ht="15.75" customHeight="1">
      <c r="A449" s="37"/>
      <c r="B449" s="28"/>
      <c r="C449" s="28"/>
      <c r="D449" s="28"/>
      <c r="E449" s="3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ht="15.75" customHeight="1">
      <c r="A450" s="37"/>
      <c r="B450" s="28"/>
      <c r="C450" s="28"/>
      <c r="D450" s="28"/>
      <c r="E450" s="3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ht="15.75" customHeight="1">
      <c r="A451" s="37"/>
      <c r="B451" s="28"/>
      <c r="C451" s="28"/>
      <c r="D451" s="28"/>
      <c r="E451" s="3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ht="15.75" customHeight="1">
      <c r="A452" s="37"/>
      <c r="B452" s="28"/>
      <c r="C452" s="28"/>
      <c r="D452" s="28"/>
      <c r="E452" s="3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ht="15.75" customHeight="1">
      <c r="A453" s="37"/>
      <c r="B453" s="28"/>
      <c r="C453" s="28"/>
      <c r="D453" s="28"/>
      <c r="E453" s="3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ht="15.75" customHeight="1">
      <c r="A454" s="37"/>
      <c r="B454" s="28"/>
      <c r="C454" s="28"/>
      <c r="D454" s="28"/>
      <c r="E454" s="3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ht="15.75" customHeight="1">
      <c r="A455" s="37"/>
      <c r="B455" s="28"/>
      <c r="C455" s="28"/>
      <c r="D455" s="28"/>
      <c r="E455" s="3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ht="15.75" customHeight="1">
      <c r="A456" s="37"/>
      <c r="B456" s="28"/>
      <c r="C456" s="28"/>
      <c r="D456" s="28"/>
      <c r="E456" s="3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ht="15.75" customHeight="1">
      <c r="A457" s="37"/>
      <c r="B457" s="28"/>
      <c r="C457" s="28"/>
      <c r="D457" s="28"/>
      <c r="E457" s="3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ht="15.75" customHeight="1">
      <c r="A458" s="37"/>
      <c r="B458" s="28"/>
      <c r="C458" s="28"/>
      <c r="D458" s="28"/>
      <c r="E458" s="3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ht="15.75" customHeight="1">
      <c r="A459" s="37"/>
      <c r="B459" s="28"/>
      <c r="C459" s="28"/>
      <c r="D459" s="28"/>
      <c r="E459" s="3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ht="15.75" customHeight="1">
      <c r="A460" s="37"/>
      <c r="B460" s="28"/>
      <c r="C460" s="28"/>
      <c r="D460" s="28"/>
      <c r="E460" s="3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ht="15.75" customHeight="1">
      <c r="A461" s="37"/>
      <c r="B461" s="28"/>
      <c r="C461" s="28"/>
      <c r="D461" s="28"/>
      <c r="E461" s="3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ht="15.75" customHeight="1">
      <c r="A462" s="37"/>
      <c r="B462" s="28"/>
      <c r="C462" s="28"/>
      <c r="D462" s="28"/>
      <c r="E462" s="3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ht="15.75" customHeight="1">
      <c r="A463" s="37"/>
      <c r="B463" s="28"/>
      <c r="C463" s="28"/>
      <c r="D463" s="28"/>
      <c r="E463" s="3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ht="15.75" customHeight="1">
      <c r="A464" s="37"/>
      <c r="B464" s="28"/>
      <c r="C464" s="28"/>
      <c r="D464" s="28"/>
      <c r="E464" s="3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ht="15.75" customHeight="1">
      <c r="A465" s="37"/>
      <c r="B465" s="28"/>
      <c r="C465" s="28"/>
      <c r="D465" s="28"/>
      <c r="E465" s="3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ht="15.75" customHeight="1">
      <c r="A466" s="37"/>
      <c r="B466" s="28"/>
      <c r="C466" s="28"/>
      <c r="D466" s="28"/>
      <c r="E466" s="3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ht="15.75" customHeight="1">
      <c r="A467" s="37"/>
      <c r="B467" s="28"/>
      <c r="C467" s="28"/>
      <c r="D467" s="28"/>
      <c r="E467" s="3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ht="15.75" customHeight="1">
      <c r="A468" s="37"/>
      <c r="B468" s="28"/>
      <c r="C468" s="28"/>
      <c r="D468" s="28"/>
      <c r="E468" s="3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ht="15.75" customHeight="1">
      <c r="A469" s="37"/>
      <c r="B469" s="28"/>
      <c r="C469" s="28"/>
      <c r="D469" s="28"/>
      <c r="E469" s="3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ht="15.75" customHeight="1">
      <c r="A470" s="37"/>
      <c r="B470" s="28"/>
      <c r="C470" s="28"/>
      <c r="D470" s="28"/>
      <c r="E470" s="3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ht="15.75" customHeight="1">
      <c r="A471" s="37"/>
      <c r="B471" s="28"/>
      <c r="C471" s="28"/>
      <c r="D471" s="28"/>
      <c r="E471" s="3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ht="15.75" customHeight="1">
      <c r="A472" s="37"/>
      <c r="B472" s="28"/>
      <c r="C472" s="28"/>
      <c r="D472" s="28"/>
      <c r="E472" s="3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ht="15.75" customHeight="1">
      <c r="A473" s="37"/>
      <c r="B473" s="28"/>
      <c r="C473" s="28"/>
      <c r="D473" s="28"/>
      <c r="E473" s="3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ht="15.75" customHeight="1">
      <c r="A474" s="37"/>
      <c r="B474" s="28"/>
      <c r="C474" s="28"/>
      <c r="D474" s="28"/>
      <c r="E474" s="3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ht="15.75" customHeight="1">
      <c r="A475" s="37"/>
      <c r="B475" s="28"/>
      <c r="C475" s="28"/>
      <c r="D475" s="28"/>
      <c r="E475" s="3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ht="15.75" customHeight="1">
      <c r="A476" s="37"/>
      <c r="B476" s="28"/>
      <c r="C476" s="28"/>
      <c r="D476" s="28"/>
      <c r="E476" s="3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ht="15.75" customHeight="1">
      <c r="A477" s="37"/>
      <c r="B477" s="28"/>
      <c r="C477" s="28"/>
      <c r="D477" s="28"/>
      <c r="E477" s="3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ht="15.75" customHeight="1">
      <c r="A478" s="37"/>
      <c r="B478" s="28"/>
      <c r="C478" s="28"/>
      <c r="D478" s="28"/>
      <c r="E478" s="3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ht="15.75" customHeight="1">
      <c r="A479" s="37"/>
      <c r="B479" s="28"/>
      <c r="C479" s="28"/>
      <c r="D479" s="28"/>
      <c r="E479" s="3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ht="15.75" customHeight="1">
      <c r="A480" s="37"/>
      <c r="B480" s="28"/>
      <c r="C480" s="28"/>
      <c r="D480" s="28"/>
      <c r="E480" s="3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ht="15.75" customHeight="1">
      <c r="A481" s="37"/>
      <c r="B481" s="28"/>
      <c r="C481" s="28"/>
      <c r="D481" s="28"/>
      <c r="E481" s="3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ht="15.75" customHeight="1">
      <c r="A482" s="37"/>
      <c r="B482" s="28"/>
      <c r="C482" s="28"/>
      <c r="D482" s="28"/>
      <c r="E482" s="3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ht="15.75" customHeight="1">
      <c r="A483" s="37"/>
      <c r="B483" s="28"/>
      <c r="C483" s="28"/>
      <c r="D483" s="28"/>
      <c r="E483" s="3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ht="15.75" customHeight="1">
      <c r="A484" s="37"/>
      <c r="B484" s="28"/>
      <c r="C484" s="28"/>
      <c r="D484" s="28"/>
      <c r="E484" s="3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ht="15.75" customHeight="1">
      <c r="A485" s="37"/>
      <c r="B485" s="28"/>
      <c r="C485" s="28"/>
      <c r="D485" s="28"/>
      <c r="E485" s="3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ht="15.75" customHeight="1">
      <c r="A486" s="37"/>
      <c r="B486" s="28"/>
      <c r="C486" s="28"/>
      <c r="D486" s="28"/>
      <c r="E486" s="3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ht="15.75" customHeight="1">
      <c r="A487" s="37"/>
      <c r="B487" s="28"/>
      <c r="C487" s="28"/>
      <c r="D487" s="28"/>
      <c r="E487" s="3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ht="15.75" customHeight="1">
      <c r="A488" s="37"/>
      <c r="B488" s="28"/>
      <c r="C488" s="28"/>
      <c r="D488" s="28"/>
      <c r="E488" s="3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ht="15.75" customHeight="1">
      <c r="A489" s="37"/>
      <c r="B489" s="28"/>
      <c r="C489" s="28"/>
      <c r="D489" s="28"/>
      <c r="E489" s="3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ht="15.75" customHeight="1">
      <c r="A490" s="37"/>
      <c r="B490" s="28"/>
      <c r="C490" s="28"/>
      <c r="D490" s="28"/>
      <c r="E490" s="3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ht="15.75" customHeight="1">
      <c r="A491" s="37"/>
      <c r="B491" s="28"/>
      <c r="C491" s="28"/>
      <c r="D491" s="28"/>
      <c r="E491" s="3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ht="15.75" customHeight="1">
      <c r="A492" s="37"/>
      <c r="B492" s="28"/>
      <c r="C492" s="28"/>
      <c r="D492" s="28"/>
      <c r="E492" s="3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ht="15.75" customHeight="1">
      <c r="A493" s="37"/>
      <c r="B493" s="28"/>
      <c r="C493" s="28"/>
      <c r="D493" s="28"/>
      <c r="E493" s="3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ht="15.75" customHeight="1">
      <c r="A494" s="37"/>
      <c r="B494" s="28"/>
      <c r="C494" s="28"/>
      <c r="D494" s="28"/>
      <c r="E494" s="3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ht="15.75" customHeight="1">
      <c r="A495" s="37"/>
      <c r="B495" s="28"/>
      <c r="C495" s="28"/>
      <c r="D495" s="28"/>
      <c r="E495" s="3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ht="15.75" customHeight="1">
      <c r="A496" s="37"/>
      <c r="B496" s="28"/>
      <c r="C496" s="28"/>
      <c r="D496" s="28"/>
      <c r="E496" s="3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ht="15.75" customHeight="1">
      <c r="A497" s="37"/>
      <c r="B497" s="28"/>
      <c r="C497" s="28"/>
      <c r="D497" s="28"/>
      <c r="E497" s="3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ht="15.75" customHeight="1">
      <c r="A498" s="37"/>
      <c r="B498" s="28"/>
      <c r="C498" s="28"/>
      <c r="D498" s="28"/>
      <c r="E498" s="3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ht="15.75" customHeight="1">
      <c r="A499" s="37"/>
      <c r="B499" s="28"/>
      <c r="C499" s="28"/>
      <c r="D499" s="28"/>
      <c r="E499" s="3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ht="15.75" customHeight="1">
      <c r="A500" s="37"/>
      <c r="B500" s="28"/>
      <c r="C500" s="28"/>
      <c r="D500" s="28"/>
      <c r="E500" s="3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ht="15.75" customHeight="1">
      <c r="A501" s="37"/>
      <c r="B501" s="28"/>
      <c r="C501" s="28"/>
      <c r="D501" s="28"/>
      <c r="E501" s="3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ht="15.75" customHeight="1">
      <c r="A502" s="37"/>
      <c r="B502" s="28"/>
      <c r="C502" s="28"/>
      <c r="D502" s="28"/>
      <c r="E502" s="3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ht="15.75" customHeight="1">
      <c r="A503" s="37"/>
      <c r="B503" s="28"/>
      <c r="C503" s="28"/>
      <c r="D503" s="28"/>
      <c r="E503" s="3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ht="15.75" customHeight="1">
      <c r="A504" s="37"/>
      <c r="B504" s="28"/>
      <c r="C504" s="28"/>
      <c r="D504" s="28"/>
      <c r="E504" s="3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ht="15.75" customHeight="1">
      <c r="A505" s="37"/>
      <c r="B505" s="28"/>
      <c r="C505" s="28"/>
      <c r="D505" s="28"/>
      <c r="E505" s="3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ht="15.75" customHeight="1">
      <c r="A506" s="37"/>
      <c r="B506" s="28"/>
      <c r="C506" s="28"/>
      <c r="D506" s="28"/>
      <c r="E506" s="3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ht="15.75" customHeight="1">
      <c r="A507" s="37"/>
      <c r="B507" s="28"/>
      <c r="C507" s="28"/>
      <c r="D507" s="28"/>
      <c r="E507" s="3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ht="15.75" customHeight="1">
      <c r="A508" s="37"/>
      <c r="B508" s="28"/>
      <c r="C508" s="28"/>
      <c r="D508" s="28"/>
      <c r="E508" s="3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ht="15.75" customHeight="1">
      <c r="A509" s="37"/>
      <c r="B509" s="28"/>
      <c r="C509" s="28"/>
      <c r="D509" s="28"/>
      <c r="E509" s="3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ht="15.75" customHeight="1">
      <c r="A510" s="37"/>
      <c r="B510" s="28"/>
      <c r="C510" s="28"/>
      <c r="D510" s="28"/>
      <c r="E510" s="3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ht="15.75" customHeight="1">
      <c r="A511" s="37"/>
      <c r="B511" s="28"/>
      <c r="C511" s="28"/>
      <c r="D511" s="28"/>
      <c r="E511" s="3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ht="15.75" customHeight="1">
      <c r="A512" s="37"/>
      <c r="B512" s="28"/>
      <c r="C512" s="28"/>
      <c r="D512" s="28"/>
      <c r="E512" s="3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ht="15.75" customHeight="1">
      <c r="A513" s="37"/>
      <c r="B513" s="28"/>
      <c r="C513" s="28"/>
      <c r="D513" s="28"/>
      <c r="E513" s="3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ht="15.75" customHeight="1">
      <c r="A514" s="37"/>
      <c r="B514" s="28"/>
      <c r="C514" s="28"/>
      <c r="D514" s="28"/>
      <c r="E514" s="3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ht="15.75" customHeight="1">
      <c r="A515" s="37"/>
      <c r="B515" s="28"/>
      <c r="C515" s="28"/>
      <c r="D515" s="28"/>
      <c r="E515" s="3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ht="15.75" customHeight="1">
      <c r="A516" s="37"/>
      <c r="B516" s="28"/>
      <c r="C516" s="28"/>
      <c r="D516" s="28"/>
      <c r="E516" s="3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ht="15.75" customHeight="1">
      <c r="A517" s="37"/>
      <c r="B517" s="28"/>
      <c r="C517" s="28"/>
      <c r="D517" s="28"/>
      <c r="E517" s="3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ht="15.75" customHeight="1">
      <c r="A518" s="37"/>
      <c r="B518" s="28"/>
      <c r="C518" s="28"/>
      <c r="D518" s="28"/>
      <c r="E518" s="3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ht="15.75" customHeight="1">
      <c r="A519" s="37"/>
      <c r="B519" s="28"/>
      <c r="C519" s="28"/>
      <c r="D519" s="28"/>
      <c r="E519" s="3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ht="15.75" customHeight="1">
      <c r="A520" s="37"/>
      <c r="B520" s="28"/>
      <c r="C520" s="28"/>
      <c r="D520" s="28"/>
      <c r="E520" s="3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ht="15.75" customHeight="1">
      <c r="A521" s="37"/>
      <c r="B521" s="28"/>
      <c r="C521" s="28"/>
      <c r="D521" s="28"/>
      <c r="E521" s="3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ht="15.75" customHeight="1">
      <c r="A522" s="37"/>
      <c r="B522" s="28"/>
      <c r="C522" s="28"/>
      <c r="D522" s="28"/>
      <c r="E522" s="3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ht="15.75" customHeight="1">
      <c r="A523" s="37"/>
      <c r="B523" s="28"/>
      <c r="C523" s="28"/>
      <c r="D523" s="28"/>
      <c r="E523" s="3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ht="15.75" customHeight="1">
      <c r="A524" s="37"/>
      <c r="B524" s="28"/>
      <c r="C524" s="28"/>
      <c r="D524" s="28"/>
      <c r="E524" s="3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ht="15.75" customHeight="1">
      <c r="A525" s="37"/>
      <c r="B525" s="28"/>
      <c r="C525" s="28"/>
      <c r="D525" s="28"/>
      <c r="E525" s="3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ht="15.75" customHeight="1">
      <c r="A526" s="37"/>
      <c r="B526" s="28"/>
      <c r="C526" s="28"/>
      <c r="D526" s="28"/>
      <c r="E526" s="3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ht="15.75" customHeight="1">
      <c r="A527" s="37"/>
      <c r="B527" s="28"/>
      <c r="C527" s="28"/>
      <c r="D527" s="28"/>
      <c r="E527" s="3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ht="15.75" customHeight="1">
      <c r="A528" s="37"/>
      <c r="B528" s="28"/>
      <c r="C528" s="28"/>
      <c r="D528" s="28"/>
      <c r="E528" s="3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ht="15.75" customHeight="1">
      <c r="A529" s="37"/>
      <c r="B529" s="28"/>
      <c r="C529" s="28"/>
      <c r="D529" s="28"/>
      <c r="E529" s="3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ht="15.75" customHeight="1">
      <c r="A530" s="37"/>
      <c r="B530" s="28"/>
      <c r="C530" s="28"/>
      <c r="D530" s="28"/>
      <c r="E530" s="3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ht="15.75" customHeight="1">
      <c r="A531" s="37"/>
      <c r="B531" s="28"/>
      <c r="C531" s="28"/>
      <c r="D531" s="28"/>
      <c r="E531" s="3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ht="15.75" customHeight="1">
      <c r="A532" s="37"/>
      <c r="B532" s="28"/>
      <c r="C532" s="28"/>
      <c r="D532" s="28"/>
      <c r="E532" s="3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ht="15.75" customHeight="1">
      <c r="A533" s="37"/>
      <c r="B533" s="28"/>
      <c r="C533" s="28"/>
      <c r="D533" s="28"/>
      <c r="E533" s="3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ht="15.75" customHeight="1">
      <c r="A534" s="37"/>
      <c r="B534" s="28"/>
      <c r="C534" s="28"/>
      <c r="D534" s="28"/>
      <c r="E534" s="3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ht="15.75" customHeight="1">
      <c r="A535" s="37"/>
      <c r="B535" s="28"/>
      <c r="C535" s="28"/>
      <c r="D535" s="28"/>
      <c r="E535" s="3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ht="15.75" customHeight="1">
      <c r="A536" s="37"/>
      <c r="B536" s="28"/>
      <c r="C536" s="28"/>
      <c r="D536" s="28"/>
      <c r="E536" s="3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ht="15.75" customHeight="1">
      <c r="A537" s="37"/>
      <c r="B537" s="28"/>
      <c r="C537" s="28"/>
      <c r="D537" s="28"/>
      <c r="E537" s="3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ht="15.75" customHeight="1">
      <c r="A538" s="37"/>
      <c r="B538" s="28"/>
      <c r="C538" s="28"/>
      <c r="D538" s="28"/>
      <c r="E538" s="3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ht="15.75" customHeight="1">
      <c r="A539" s="37"/>
      <c r="B539" s="28"/>
      <c r="C539" s="28"/>
      <c r="D539" s="28"/>
      <c r="E539" s="3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ht="15.75" customHeight="1">
      <c r="A540" s="37"/>
      <c r="B540" s="28"/>
      <c r="C540" s="28"/>
      <c r="D540" s="28"/>
      <c r="E540" s="3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ht="15.75" customHeight="1">
      <c r="A541" s="37"/>
      <c r="B541" s="28"/>
      <c r="C541" s="28"/>
      <c r="D541" s="28"/>
      <c r="E541" s="3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ht="15.75" customHeight="1">
      <c r="A542" s="37"/>
      <c r="B542" s="28"/>
      <c r="C542" s="28"/>
      <c r="D542" s="28"/>
      <c r="E542" s="3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ht="15.75" customHeight="1">
      <c r="A543" s="37"/>
      <c r="B543" s="28"/>
      <c r="C543" s="28"/>
      <c r="D543" s="28"/>
      <c r="E543" s="3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ht="15.75" customHeight="1">
      <c r="A544" s="37"/>
      <c r="B544" s="28"/>
      <c r="C544" s="28"/>
      <c r="D544" s="28"/>
      <c r="E544" s="3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ht="15.75" customHeight="1">
      <c r="A545" s="37"/>
      <c r="B545" s="28"/>
      <c r="C545" s="28"/>
      <c r="D545" s="28"/>
      <c r="E545" s="3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ht="15.75" customHeight="1">
      <c r="A546" s="37"/>
      <c r="B546" s="28"/>
      <c r="C546" s="28"/>
      <c r="D546" s="28"/>
      <c r="E546" s="3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ht="15.75" customHeight="1">
      <c r="A547" s="37"/>
      <c r="B547" s="28"/>
      <c r="C547" s="28"/>
      <c r="D547" s="28"/>
      <c r="E547" s="3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ht="15.75" customHeight="1">
      <c r="A548" s="37"/>
      <c r="B548" s="28"/>
      <c r="C548" s="28"/>
      <c r="D548" s="28"/>
      <c r="E548" s="3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ht="15.75" customHeight="1">
      <c r="A549" s="37"/>
      <c r="B549" s="28"/>
      <c r="C549" s="28"/>
      <c r="D549" s="28"/>
      <c r="E549" s="3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ht="15.75" customHeight="1">
      <c r="A550" s="37"/>
      <c r="B550" s="28"/>
      <c r="C550" s="28"/>
      <c r="D550" s="28"/>
      <c r="E550" s="3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ht="15.75" customHeight="1">
      <c r="A551" s="37"/>
      <c r="B551" s="28"/>
      <c r="C551" s="28"/>
      <c r="D551" s="28"/>
      <c r="E551" s="3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ht="15.75" customHeight="1">
      <c r="A552" s="37"/>
      <c r="B552" s="28"/>
      <c r="C552" s="28"/>
      <c r="D552" s="28"/>
      <c r="E552" s="3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ht="15.75" customHeight="1">
      <c r="A553" s="37"/>
      <c r="B553" s="28"/>
      <c r="C553" s="28"/>
      <c r="D553" s="28"/>
      <c r="E553" s="3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ht="15.75" customHeight="1">
      <c r="A554" s="37"/>
      <c r="B554" s="28"/>
      <c r="C554" s="28"/>
      <c r="D554" s="28"/>
      <c r="E554" s="3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ht="15.75" customHeight="1">
      <c r="A555" s="37"/>
      <c r="B555" s="28"/>
      <c r="C555" s="28"/>
      <c r="D555" s="28"/>
      <c r="E555" s="3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ht="15.75" customHeight="1">
      <c r="A556" s="37"/>
      <c r="B556" s="28"/>
      <c r="C556" s="28"/>
      <c r="D556" s="28"/>
      <c r="E556" s="3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ht="15.75" customHeight="1">
      <c r="A557" s="37"/>
      <c r="B557" s="28"/>
      <c r="C557" s="28"/>
      <c r="D557" s="28"/>
      <c r="E557" s="3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ht="15.75" customHeight="1">
      <c r="A558" s="37"/>
      <c r="B558" s="28"/>
      <c r="C558" s="28"/>
      <c r="D558" s="28"/>
      <c r="E558" s="3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ht="15.75" customHeight="1">
      <c r="A559" s="37"/>
      <c r="B559" s="28"/>
      <c r="C559" s="28"/>
      <c r="D559" s="28"/>
      <c r="E559" s="3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ht="15.75" customHeight="1">
      <c r="A560" s="37"/>
      <c r="B560" s="28"/>
      <c r="C560" s="28"/>
      <c r="D560" s="28"/>
      <c r="E560" s="3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ht="15.75" customHeight="1">
      <c r="A561" s="37"/>
      <c r="B561" s="28"/>
      <c r="C561" s="28"/>
      <c r="D561" s="28"/>
      <c r="E561" s="3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ht="15.75" customHeight="1">
      <c r="A562" s="37"/>
      <c r="B562" s="28"/>
      <c r="C562" s="28"/>
      <c r="D562" s="28"/>
      <c r="E562" s="3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ht="15.75" customHeight="1">
      <c r="A563" s="37"/>
      <c r="B563" s="28"/>
      <c r="C563" s="28"/>
      <c r="D563" s="28"/>
      <c r="E563" s="3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ht="15.75" customHeight="1">
      <c r="A564" s="37"/>
      <c r="B564" s="28"/>
      <c r="C564" s="28"/>
      <c r="D564" s="28"/>
      <c r="E564" s="3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ht="15.75" customHeight="1">
      <c r="A565" s="37"/>
      <c r="B565" s="28"/>
      <c r="C565" s="28"/>
      <c r="D565" s="28"/>
      <c r="E565" s="3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ht="15.75" customHeight="1">
      <c r="A566" s="37"/>
      <c r="B566" s="28"/>
      <c r="C566" s="28"/>
      <c r="D566" s="28"/>
      <c r="E566" s="3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ht="15.75" customHeight="1">
      <c r="A567" s="37"/>
      <c r="B567" s="28"/>
      <c r="C567" s="28"/>
      <c r="D567" s="28"/>
      <c r="E567" s="3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ht="15.75" customHeight="1">
      <c r="A568" s="37"/>
      <c r="B568" s="28"/>
      <c r="C568" s="28"/>
      <c r="D568" s="28"/>
      <c r="E568" s="3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ht="15.75" customHeight="1">
      <c r="A569" s="37"/>
      <c r="B569" s="28"/>
      <c r="C569" s="28"/>
      <c r="D569" s="28"/>
      <c r="E569" s="3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ht="15.75" customHeight="1">
      <c r="A570" s="37"/>
      <c r="B570" s="28"/>
      <c r="C570" s="28"/>
      <c r="D570" s="28"/>
      <c r="E570" s="3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ht="15.75" customHeight="1">
      <c r="A571" s="37"/>
      <c r="B571" s="28"/>
      <c r="C571" s="28"/>
      <c r="D571" s="28"/>
      <c r="E571" s="3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ht="15.75" customHeight="1">
      <c r="A572" s="37"/>
      <c r="B572" s="28"/>
      <c r="C572" s="28"/>
      <c r="D572" s="28"/>
      <c r="E572" s="3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ht="15.75" customHeight="1">
      <c r="A573" s="37"/>
      <c r="B573" s="28"/>
      <c r="C573" s="28"/>
      <c r="D573" s="28"/>
      <c r="E573" s="3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ht="15.75" customHeight="1">
      <c r="A574" s="37"/>
      <c r="B574" s="28"/>
      <c r="C574" s="28"/>
      <c r="D574" s="28"/>
      <c r="E574" s="3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ht="15.75" customHeight="1">
      <c r="A575" s="37"/>
      <c r="B575" s="28"/>
      <c r="C575" s="28"/>
      <c r="D575" s="28"/>
      <c r="E575" s="3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ht="15.75" customHeight="1">
      <c r="A576" s="37"/>
      <c r="B576" s="28"/>
      <c r="C576" s="28"/>
      <c r="D576" s="28"/>
      <c r="E576" s="3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ht="15.75" customHeight="1">
      <c r="A577" s="37"/>
      <c r="B577" s="28"/>
      <c r="C577" s="28"/>
      <c r="D577" s="28"/>
      <c r="E577" s="3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ht="15.75" customHeight="1">
      <c r="A578" s="37"/>
      <c r="B578" s="28"/>
      <c r="C578" s="28"/>
      <c r="D578" s="28"/>
      <c r="E578" s="3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ht="15.75" customHeight="1">
      <c r="A579" s="37"/>
      <c r="B579" s="28"/>
      <c r="C579" s="28"/>
      <c r="D579" s="28"/>
      <c r="E579" s="3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ht="15.75" customHeight="1">
      <c r="A580" s="37"/>
      <c r="B580" s="28"/>
      <c r="C580" s="28"/>
      <c r="D580" s="28"/>
      <c r="E580" s="3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ht="15.75" customHeight="1">
      <c r="A581" s="37"/>
      <c r="B581" s="28"/>
      <c r="C581" s="28"/>
      <c r="D581" s="28"/>
      <c r="E581" s="3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ht="15.75" customHeight="1">
      <c r="A582" s="37"/>
      <c r="B582" s="28"/>
      <c r="C582" s="28"/>
      <c r="D582" s="28"/>
      <c r="E582" s="3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ht="15.75" customHeight="1">
      <c r="A583" s="37"/>
      <c r="B583" s="28"/>
      <c r="C583" s="28"/>
      <c r="D583" s="28"/>
      <c r="E583" s="3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ht="15.75" customHeight="1">
      <c r="A584" s="37"/>
      <c r="B584" s="28"/>
      <c r="C584" s="28"/>
      <c r="D584" s="28"/>
      <c r="E584" s="3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ht="15.75" customHeight="1">
      <c r="A585" s="37"/>
      <c r="B585" s="28"/>
      <c r="C585" s="28"/>
      <c r="D585" s="28"/>
      <c r="E585" s="3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ht="15.75" customHeight="1">
      <c r="A586" s="37"/>
      <c r="B586" s="28"/>
      <c r="C586" s="28"/>
      <c r="D586" s="28"/>
      <c r="E586" s="3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ht="15.75" customHeight="1">
      <c r="A587" s="37"/>
      <c r="B587" s="28"/>
      <c r="C587" s="28"/>
      <c r="D587" s="28"/>
      <c r="E587" s="3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ht="15.75" customHeight="1">
      <c r="A588" s="37"/>
      <c r="B588" s="28"/>
      <c r="C588" s="28"/>
      <c r="D588" s="28"/>
      <c r="E588" s="3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ht="15.75" customHeight="1">
      <c r="A589" s="37"/>
      <c r="B589" s="28"/>
      <c r="C589" s="28"/>
      <c r="D589" s="28"/>
      <c r="E589" s="3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ht="15.75" customHeight="1">
      <c r="A590" s="37"/>
      <c r="B590" s="28"/>
      <c r="C590" s="28"/>
      <c r="D590" s="28"/>
      <c r="E590" s="3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ht="15.75" customHeight="1">
      <c r="A591" s="37"/>
      <c r="B591" s="28"/>
      <c r="C591" s="28"/>
      <c r="D591" s="28"/>
      <c r="E591" s="3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ht="15.75" customHeight="1">
      <c r="A592" s="37"/>
      <c r="B592" s="28"/>
      <c r="C592" s="28"/>
      <c r="D592" s="28"/>
      <c r="E592" s="3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ht="15.75" customHeight="1">
      <c r="A593" s="37"/>
      <c r="B593" s="28"/>
      <c r="C593" s="28"/>
      <c r="D593" s="28"/>
      <c r="E593" s="3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ht="15.75" customHeight="1">
      <c r="A594" s="37"/>
      <c r="B594" s="28"/>
      <c r="C594" s="28"/>
      <c r="D594" s="28"/>
      <c r="E594" s="3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ht="15.75" customHeight="1">
      <c r="A595" s="37"/>
      <c r="B595" s="28"/>
      <c r="C595" s="28"/>
      <c r="D595" s="28"/>
      <c r="E595" s="3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ht="15.75" customHeight="1">
      <c r="A596" s="37"/>
      <c r="B596" s="28"/>
      <c r="C596" s="28"/>
      <c r="D596" s="28"/>
      <c r="E596" s="3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ht="15.75" customHeight="1">
      <c r="A597" s="37"/>
      <c r="B597" s="28"/>
      <c r="C597" s="28"/>
      <c r="D597" s="28"/>
      <c r="E597" s="3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ht="15.75" customHeight="1">
      <c r="A598" s="37"/>
      <c r="B598" s="28"/>
      <c r="C598" s="28"/>
      <c r="D598" s="28"/>
      <c r="E598" s="3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ht="15.75" customHeight="1">
      <c r="A599" s="37"/>
      <c r="B599" s="28"/>
      <c r="C599" s="28"/>
      <c r="D599" s="28"/>
      <c r="E599" s="3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ht="15.75" customHeight="1">
      <c r="A600" s="37"/>
      <c r="B600" s="28"/>
      <c r="C600" s="28"/>
      <c r="D600" s="28"/>
      <c r="E600" s="3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ht="15.75" customHeight="1">
      <c r="A601" s="37"/>
      <c r="B601" s="28"/>
      <c r="C601" s="28"/>
      <c r="D601" s="28"/>
      <c r="E601" s="3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ht="15.75" customHeight="1">
      <c r="A602" s="37"/>
      <c r="B602" s="28"/>
      <c r="C602" s="28"/>
      <c r="D602" s="28"/>
      <c r="E602" s="3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ht="15.75" customHeight="1">
      <c r="A603" s="37"/>
      <c r="B603" s="28"/>
      <c r="C603" s="28"/>
      <c r="D603" s="28"/>
      <c r="E603" s="3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ht="15.75" customHeight="1">
      <c r="A604" s="37"/>
      <c r="B604" s="28"/>
      <c r="C604" s="28"/>
      <c r="D604" s="28"/>
      <c r="E604" s="3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ht="15.75" customHeight="1">
      <c r="A605" s="37"/>
      <c r="B605" s="28"/>
      <c r="C605" s="28"/>
      <c r="D605" s="28"/>
      <c r="E605" s="3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ht="15.75" customHeight="1">
      <c r="A606" s="37"/>
      <c r="B606" s="28"/>
      <c r="C606" s="28"/>
      <c r="D606" s="28"/>
      <c r="E606" s="3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ht="15.75" customHeight="1">
      <c r="A607" s="37"/>
      <c r="B607" s="28"/>
      <c r="C607" s="28"/>
      <c r="D607" s="28"/>
      <c r="E607" s="3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ht="15.75" customHeight="1">
      <c r="A608" s="37"/>
      <c r="B608" s="28"/>
      <c r="C608" s="28"/>
      <c r="D608" s="28"/>
      <c r="E608" s="3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ht="15.75" customHeight="1">
      <c r="A609" s="37"/>
      <c r="B609" s="28"/>
      <c r="C609" s="28"/>
      <c r="D609" s="28"/>
      <c r="E609" s="3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ht="15.75" customHeight="1">
      <c r="A610" s="37"/>
      <c r="B610" s="28"/>
      <c r="C610" s="28"/>
      <c r="D610" s="28"/>
      <c r="E610" s="3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ht="15.75" customHeight="1">
      <c r="A611" s="37"/>
      <c r="B611" s="28"/>
      <c r="C611" s="28"/>
      <c r="D611" s="28"/>
      <c r="E611" s="3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ht="15.75" customHeight="1">
      <c r="A612" s="37"/>
      <c r="B612" s="28"/>
      <c r="C612" s="28"/>
      <c r="D612" s="28"/>
      <c r="E612" s="3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ht="15.75" customHeight="1">
      <c r="A613" s="37"/>
      <c r="B613" s="28"/>
      <c r="C613" s="28"/>
      <c r="D613" s="28"/>
      <c r="E613" s="3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ht="15.75" customHeight="1">
      <c r="A614" s="37"/>
      <c r="B614" s="28"/>
      <c r="C614" s="28"/>
      <c r="D614" s="28"/>
      <c r="E614" s="3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ht="15.75" customHeight="1">
      <c r="A615" s="37"/>
      <c r="B615" s="28"/>
      <c r="C615" s="28"/>
      <c r="D615" s="28"/>
      <c r="E615" s="3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ht="15.75" customHeight="1">
      <c r="A616" s="37"/>
      <c r="B616" s="28"/>
      <c r="C616" s="28"/>
      <c r="D616" s="28"/>
      <c r="E616" s="3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ht="15.75" customHeight="1">
      <c r="A617" s="37"/>
      <c r="B617" s="28"/>
      <c r="C617" s="28"/>
      <c r="D617" s="28"/>
      <c r="E617" s="3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ht="15.75" customHeight="1">
      <c r="A618" s="37"/>
      <c r="B618" s="28"/>
      <c r="C618" s="28"/>
      <c r="D618" s="28"/>
      <c r="E618" s="3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ht="15.75" customHeight="1">
      <c r="A619" s="37"/>
      <c r="B619" s="28"/>
      <c r="C619" s="28"/>
      <c r="D619" s="28"/>
      <c r="E619" s="3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ht="15.75" customHeight="1">
      <c r="A620" s="37"/>
      <c r="B620" s="28"/>
      <c r="C620" s="28"/>
      <c r="D620" s="28"/>
      <c r="E620" s="3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ht="15.75" customHeight="1">
      <c r="A621" s="37"/>
      <c r="B621" s="28"/>
      <c r="C621" s="28"/>
      <c r="D621" s="28"/>
      <c r="E621" s="3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ht="15.75" customHeight="1">
      <c r="A622" s="37"/>
      <c r="B622" s="28"/>
      <c r="C622" s="28"/>
      <c r="D622" s="28"/>
      <c r="E622" s="3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ht="15.75" customHeight="1">
      <c r="A623" s="37"/>
      <c r="B623" s="28"/>
      <c r="C623" s="28"/>
      <c r="D623" s="28"/>
      <c r="E623" s="3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ht="15.75" customHeight="1">
      <c r="A624" s="37"/>
      <c r="B624" s="28"/>
      <c r="C624" s="28"/>
      <c r="D624" s="28"/>
      <c r="E624" s="3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ht="15.75" customHeight="1">
      <c r="A625" s="37"/>
      <c r="B625" s="28"/>
      <c r="C625" s="28"/>
      <c r="D625" s="28"/>
      <c r="E625" s="3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ht="15.75" customHeight="1">
      <c r="A626" s="37"/>
      <c r="B626" s="28"/>
      <c r="C626" s="28"/>
      <c r="D626" s="28"/>
      <c r="E626" s="3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ht="15.75" customHeight="1">
      <c r="A627" s="37"/>
      <c r="B627" s="28"/>
      <c r="C627" s="28"/>
      <c r="D627" s="28"/>
      <c r="E627" s="3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ht="15.75" customHeight="1">
      <c r="A628" s="37"/>
      <c r="B628" s="28"/>
      <c r="C628" s="28"/>
      <c r="D628" s="28"/>
      <c r="E628" s="3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ht="15.75" customHeight="1">
      <c r="A629" s="37"/>
      <c r="B629" s="28"/>
      <c r="C629" s="28"/>
      <c r="D629" s="28"/>
      <c r="E629" s="3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ht="15.75" customHeight="1">
      <c r="A630" s="37"/>
      <c r="B630" s="28"/>
      <c r="C630" s="28"/>
      <c r="D630" s="28"/>
      <c r="E630" s="3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ht="15.75" customHeight="1">
      <c r="A631" s="37"/>
      <c r="B631" s="28"/>
      <c r="C631" s="28"/>
      <c r="D631" s="28"/>
      <c r="E631" s="3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ht="15.75" customHeight="1">
      <c r="A632" s="37"/>
      <c r="B632" s="28"/>
      <c r="C632" s="28"/>
      <c r="D632" s="28"/>
      <c r="E632" s="3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ht="15.75" customHeight="1">
      <c r="A633" s="37"/>
      <c r="B633" s="28"/>
      <c r="C633" s="28"/>
      <c r="D633" s="28"/>
      <c r="E633" s="3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ht="15.75" customHeight="1">
      <c r="A634" s="37"/>
      <c r="B634" s="28"/>
      <c r="C634" s="28"/>
      <c r="D634" s="28"/>
      <c r="E634" s="3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ht="15.75" customHeight="1">
      <c r="A635" s="37"/>
      <c r="B635" s="28"/>
      <c r="C635" s="28"/>
      <c r="D635" s="28"/>
      <c r="E635" s="3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ht="15.75" customHeight="1">
      <c r="A636" s="37"/>
      <c r="B636" s="28"/>
      <c r="C636" s="28"/>
      <c r="D636" s="28"/>
      <c r="E636" s="3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ht="15.75" customHeight="1">
      <c r="A637" s="37"/>
      <c r="B637" s="28"/>
      <c r="C637" s="28"/>
      <c r="D637" s="28"/>
      <c r="E637" s="3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ht="15.75" customHeight="1">
      <c r="A638" s="37"/>
      <c r="B638" s="28"/>
      <c r="C638" s="28"/>
      <c r="D638" s="28"/>
      <c r="E638" s="3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ht="15.75" customHeight="1">
      <c r="A639" s="37"/>
      <c r="B639" s="28"/>
      <c r="C639" s="28"/>
      <c r="D639" s="28"/>
      <c r="E639" s="3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ht="15.75" customHeight="1">
      <c r="A640" s="37"/>
      <c r="B640" s="28"/>
      <c r="C640" s="28"/>
      <c r="D640" s="28"/>
      <c r="E640" s="3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ht="15.75" customHeight="1">
      <c r="A641" s="37"/>
      <c r="B641" s="28"/>
      <c r="C641" s="28"/>
      <c r="D641" s="28"/>
      <c r="E641" s="3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ht="15.75" customHeight="1">
      <c r="A642" s="37"/>
      <c r="B642" s="28"/>
      <c r="C642" s="28"/>
      <c r="D642" s="28"/>
      <c r="E642" s="3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ht="15.75" customHeight="1">
      <c r="A643" s="37"/>
      <c r="B643" s="28"/>
      <c r="C643" s="28"/>
      <c r="D643" s="28"/>
      <c r="E643" s="3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ht="15.75" customHeight="1">
      <c r="A644" s="37"/>
      <c r="B644" s="28"/>
      <c r="C644" s="28"/>
      <c r="D644" s="28"/>
      <c r="E644" s="3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ht="15.75" customHeight="1">
      <c r="A645" s="37"/>
      <c r="B645" s="28"/>
      <c r="C645" s="28"/>
      <c r="D645" s="28"/>
      <c r="E645" s="3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ht="15.75" customHeight="1">
      <c r="A646" s="37"/>
      <c r="B646" s="28"/>
      <c r="C646" s="28"/>
      <c r="D646" s="28"/>
      <c r="E646" s="3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ht="15.75" customHeight="1">
      <c r="A647" s="37"/>
      <c r="B647" s="28"/>
      <c r="C647" s="28"/>
      <c r="D647" s="28"/>
      <c r="E647" s="3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ht="15.75" customHeight="1">
      <c r="A648" s="37"/>
      <c r="B648" s="28"/>
      <c r="C648" s="28"/>
      <c r="D648" s="28"/>
      <c r="E648" s="3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ht="15.75" customHeight="1">
      <c r="A649" s="37"/>
      <c r="B649" s="28"/>
      <c r="C649" s="28"/>
      <c r="D649" s="28"/>
      <c r="E649" s="3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ht="15.75" customHeight="1">
      <c r="A650" s="37"/>
      <c r="B650" s="28"/>
      <c r="C650" s="28"/>
      <c r="D650" s="28"/>
      <c r="E650" s="3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ht="15.75" customHeight="1">
      <c r="A651" s="37"/>
      <c r="B651" s="28"/>
      <c r="C651" s="28"/>
      <c r="D651" s="28"/>
      <c r="E651" s="3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ht="15.75" customHeight="1">
      <c r="A652" s="37"/>
      <c r="B652" s="28"/>
      <c r="C652" s="28"/>
      <c r="D652" s="28"/>
      <c r="E652" s="3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ht="15.75" customHeight="1">
      <c r="A653" s="37"/>
      <c r="B653" s="28"/>
      <c r="C653" s="28"/>
      <c r="D653" s="28"/>
      <c r="E653" s="3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ht="15.75" customHeight="1">
      <c r="A654" s="37"/>
      <c r="B654" s="28"/>
      <c r="C654" s="28"/>
      <c r="D654" s="28"/>
      <c r="E654" s="3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ht="15.75" customHeight="1">
      <c r="A655" s="37"/>
      <c r="B655" s="28"/>
      <c r="C655" s="28"/>
      <c r="D655" s="28"/>
      <c r="E655" s="3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ht="15.75" customHeight="1">
      <c r="A656" s="37"/>
      <c r="B656" s="28"/>
      <c r="C656" s="28"/>
      <c r="D656" s="28"/>
      <c r="E656" s="3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ht="15.75" customHeight="1">
      <c r="A657" s="37"/>
      <c r="B657" s="28"/>
      <c r="C657" s="28"/>
      <c r="D657" s="28"/>
      <c r="E657" s="3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ht="15.75" customHeight="1">
      <c r="A658" s="37"/>
      <c r="B658" s="28"/>
      <c r="C658" s="28"/>
      <c r="D658" s="28"/>
      <c r="E658" s="3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ht="15.75" customHeight="1">
      <c r="A659" s="37"/>
      <c r="B659" s="28"/>
      <c r="C659" s="28"/>
      <c r="D659" s="28"/>
      <c r="E659" s="3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ht="15.75" customHeight="1">
      <c r="A660" s="37"/>
      <c r="B660" s="28"/>
      <c r="C660" s="28"/>
      <c r="D660" s="28"/>
      <c r="E660" s="3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ht="15.75" customHeight="1">
      <c r="A661" s="37"/>
      <c r="B661" s="28"/>
      <c r="C661" s="28"/>
      <c r="D661" s="28"/>
      <c r="E661" s="3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ht="15.75" customHeight="1">
      <c r="A662" s="37"/>
      <c r="B662" s="28"/>
      <c r="C662" s="28"/>
      <c r="D662" s="28"/>
      <c r="E662" s="3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ht="15.75" customHeight="1">
      <c r="A663" s="37"/>
      <c r="B663" s="28"/>
      <c r="C663" s="28"/>
      <c r="D663" s="28"/>
      <c r="E663" s="3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ht="15.75" customHeight="1">
      <c r="A664" s="37"/>
      <c r="B664" s="28"/>
      <c r="C664" s="28"/>
      <c r="D664" s="28"/>
      <c r="E664" s="3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ht="15.75" customHeight="1">
      <c r="A665" s="37"/>
      <c r="B665" s="28"/>
      <c r="C665" s="28"/>
      <c r="D665" s="28"/>
      <c r="E665" s="3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ht="15.75" customHeight="1">
      <c r="A666" s="37"/>
      <c r="B666" s="28"/>
      <c r="C666" s="28"/>
      <c r="D666" s="28"/>
      <c r="E666" s="3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ht="15.75" customHeight="1">
      <c r="A667" s="37"/>
      <c r="B667" s="28"/>
      <c r="C667" s="28"/>
      <c r="D667" s="28"/>
      <c r="E667" s="3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ht="15.75" customHeight="1">
      <c r="A668" s="37"/>
      <c r="B668" s="28"/>
      <c r="C668" s="28"/>
      <c r="D668" s="28"/>
      <c r="E668" s="3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ht="15.75" customHeight="1">
      <c r="A669" s="37"/>
      <c r="B669" s="28"/>
      <c r="C669" s="28"/>
      <c r="D669" s="28"/>
      <c r="E669" s="3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ht="15.75" customHeight="1">
      <c r="A670" s="37"/>
      <c r="B670" s="28"/>
      <c r="C670" s="28"/>
      <c r="D670" s="28"/>
      <c r="E670" s="3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ht="15.75" customHeight="1">
      <c r="A671" s="37"/>
      <c r="B671" s="28"/>
      <c r="C671" s="28"/>
      <c r="D671" s="28"/>
      <c r="E671" s="3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ht="15.75" customHeight="1">
      <c r="A672" s="37"/>
      <c r="B672" s="28"/>
      <c r="C672" s="28"/>
      <c r="D672" s="28"/>
      <c r="E672" s="3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ht="15.75" customHeight="1">
      <c r="A673" s="37"/>
      <c r="B673" s="28"/>
      <c r="C673" s="28"/>
      <c r="D673" s="28"/>
      <c r="E673" s="3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ht="15.75" customHeight="1">
      <c r="A674" s="37"/>
      <c r="B674" s="28"/>
      <c r="C674" s="28"/>
      <c r="D674" s="28"/>
      <c r="E674" s="3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ht="15.75" customHeight="1">
      <c r="A675" s="37"/>
      <c r="B675" s="28"/>
      <c r="C675" s="28"/>
      <c r="D675" s="28"/>
      <c r="E675" s="3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ht="15.75" customHeight="1">
      <c r="A676" s="37"/>
      <c r="B676" s="28"/>
      <c r="C676" s="28"/>
      <c r="D676" s="28"/>
      <c r="E676" s="3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ht="15.75" customHeight="1">
      <c r="A677" s="37"/>
      <c r="B677" s="28"/>
      <c r="C677" s="28"/>
      <c r="D677" s="28"/>
      <c r="E677" s="3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ht="15.75" customHeight="1">
      <c r="A678" s="37"/>
      <c r="B678" s="28"/>
      <c r="C678" s="28"/>
      <c r="D678" s="28"/>
      <c r="E678" s="3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ht="15.75" customHeight="1">
      <c r="A679" s="37"/>
      <c r="B679" s="28"/>
      <c r="C679" s="28"/>
      <c r="D679" s="28"/>
      <c r="E679" s="3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ht="15.75" customHeight="1">
      <c r="A680" s="37"/>
      <c r="B680" s="28"/>
      <c r="C680" s="28"/>
      <c r="D680" s="28"/>
      <c r="E680" s="3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ht="15.75" customHeight="1">
      <c r="A681" s="37"/>
      <c r="B681" s="28"/>
      <c r="C681" s="28"/>
      <c r="D681" s="28"/>
      <c r="E681" s="3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ht="15.75" customHeight="1">
      <c r="A682" s="37"/>
      <c r="B682" s="28"/>
      <c r="C682" s="28"/>
      <c r="D682" s="28"/>
      <c r="E682" s="3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ht="15.75" customHeight="1">
      <c r="A683" s="37"/>
      <c r="B683" s="28"/>
      <c r="C683" s="28"/>
      <c r="D683" s="28"/>
      <c r="E683" s="3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ht="15.75" customHeight="1">
      <c r="A684" s="37"/>
      <c r="B684" s="28"/>
      <c r="C684" s="28"/>
      <c r="D684" s="28"/>
      <c r="E684" s="3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ht="15.75" customHeight="1">
      <c r="A685" s="37"/>
      <c r="B685" s="28"/>
      <c r="C685" s="28"/>
      <c r="D685" s="28"/>
      <c r="E685" s="3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ht="15.75" customHeight="1">
      <c r="A686" s="37"/>
      <c r="B686" s="28"/>
      <c r="C686" s="28"/>
      <c r="D686" s="28"/>
      <c r="E686" s="3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ht="15.75" customHeight="1">
      <c r="A687" s="37"/>
      <c r="B687" s="28"/>
      <c r="C687" s="28"/>
      <c r="D687" s="28"/>
      <c r="E687" s="3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ht="15.75" customHeight="1">
      <c r="A688" s="37"/>
      <c r="B688" s="28"/>
      <c r="C688" s="28"/>
      <c r="D688" s="28"/>
      <c r="E688" s="3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ht="15.75" customHeight="1">
      <c r="A689" s="37"/>
      <c r="B689" s="28"/>
      <c r="C689" s="28"/>
      <c r="D689" s="28"/>
      <c r="E689" s="3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ht="15.75" customHeight="1">
      <c r="A690" s="37"/>
      <c r="B690" s="28"/>
      <c r="C690" s="28"/>
      <c r="D690" s="28"/>
      <c r="E690" s="3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ht="15.75" customHeight="1">
      <c r="A691" s="37"/>
      <c r="B691" s="28"/>
      <c r="C691" s="28"/>
      <c r="D691" s="28"/>
      <c r="E691" s="3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ht="15.75" customHeight="1">
      <c r="A692" s="37"/>
      <c r="B692" s="28"/>
      <c r="C692" s="28"/>
      <c r="D692" s="28"/>
      <c r="E692" s="3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ht="15.75" customHeight="1">
      <c r="A693" s="37"/>
      <c r="B693" s="28"/>
      <c r="C693" s="28"/>
      <c r="D693" s="28"/>
      <c r="E693" s="3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ht="15.75" customHeight="1">
      <c r="A694" s="37"/>
      <c r="B694" s="28"/>
      <c r="C694" s="28"/>
      <c r="D694" s="28"/>
      <c r="E694" s="3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ht="15.75" customHeight="1">
      <c r="A695" s="37"/>
      <c r="B695" s="28"/>
      <c r="C695" s="28"/>
      <c r="D695" s="28"/>
      <c r="E695" s="3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ht="15.75" customHeight="1">
      <c r="A696" s="37"/>
      <c r="B696" s="28"/>
      <c r="C696" s="28"/>
      <c r="D696" s="28"/>
      <c r="E696" s="3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ht="15.75" customHeight="1">
      <c r="A697" s="37"/>
      <c r="B697" s="28"/>
      <c r="C697" s="28"/>
      <c r="D697" s="28"/>
      <c r="E697" s="3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ht="15.75" customHeight="1">
      <c r="A698" s="37"/>
      <c r="B698" s="28"/>
      <c r="C698" s="28"/>
      <c r="D698" s="28"/>
      <c r="E698" s="3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ht="15.75" customHeight="1">
      <c r="A699" s="37"/>
      <c r="B699" s="28"/>
      <c r="C699" s="28"/>
      <c r="D699" s="28"/>
      <c r="E699" s="3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ht="15.75" customHeight="1">
      <c r="A700" s="37"/>
      <c r="B700" s="28"/>
      <c r="C700" s="28"/>
      <c r="D700" s="28"/>
      <c r="E700" s="3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ht="15.75" customHeight="1">
      <c r="A701" s="37"/>
      <c r="B701" s="28"/>
      <c r="C701" s="28"/>
      <c r="D701" s="28"/>
      <c r="E701" s="3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ht="15.75" customHeight="1">
      <c r="A702" s="37"/>
      <c r="B702" s="28"/>
      <c r="C702" s="28"/>
      <c r="D702" s="28"/>
      <c r="E702" s="3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ht="15.75" customHeight="1">
      <c r="A703" s="37"/>
      <c r="B703" s="28"/>
      <c r="C703" s="28"/>
      <c r="D703" s="28"/>
      <c r="E703" s="3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ht="15.75" customHeight="1">
      <c r="A704" s="37"/>
      <c r="B704" s="28"/>
      <c r="C704" s="28"/>
      <c r="D704" s="28"/>
      <c r="E704" s="3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ht="15.75" customHeight="1">
      <c r="A705" s="37"/>
      <c r="B705" s="28"/>
      <c r="C705" s="28"/>
      <c r="D705" s="28"/>
      <c r="E705" s="3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ht="15.75" customHeight="1">
      <c r="A706" s="37"/>
      <c r="B706" s="28"/>
      <c r="C706" s="28"/>
      <c r="D706" s="28"/>
      <c r="E706" s="3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ht="15.75" customHeight="1">
      <c r="A707" s="37"/>
      <c r="B707" s="28"/>
      <c r="C707" s="28"/>
      <c r="D707" s="28"/>
      <c r="E707" s="3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ht="15.75" customHeight="1">
      <c r="A708" s="37"/>
      <c r="B708" s="28"/>
      <c r="C708" s="28"/>
      <c r="D708" s="28"/>
      <c r="E708" s="3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ht="15.75" customHeight="1">
      <c r="A709" s="37"/>
      <c r="B709" s="28"/>
      <c r="C709" s="28"/>
      <c r="D709" s="28"/>
      <c r="E709" s="3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ht="15.75" customHeight="1">
      <c r="A710" s="37"/>
      <c r="B710" s="28"/>
      <c r="C710" s="28"/>
      <c r="D710" s="28"/>
      <c r="E710" s="3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ht="15.75" customHeight="1">
      <c r="A711" s="37"/>
      <c r="B711" s="28"/>
      <c r="C711" s="28"/>
      <c r="D711" s="28"/>
      <c r="E711" s="3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ht="15.75" customHeight="1">
      <c r="A712" s="37"/>
      <c r="B712" s="28"/>
      <c r="C712" s="28"/>
      <c r="D712" s="28"/>
      <c r="E712" s="3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ht="15.75" customHeight="1">
      <c r="A713" s="37"/>
      <c r="B713" s="28"/>
      <c r="C713" s="28"/>
      <c r="D713" s="28"/>
      <c r="E713" s="3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ht="15.75" customHeight="1">
      <c r="A714" s="37"/>
      <c r="B714" s="28"/>
      <c r="C714" s="28"/>
      <c r="D714" s="28"/>
      <c r="E714" s="3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ht="15.75" customHeight="1">
      <c r="A715" s="37"/>
      <c r="B715" s="28"/>
      <c r="C715" s="28"/>
      <c r="D715" s="28"/>
      <c r="E715" s="3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ht="15.75" customHeight="1">
      <c r="A716" s="37"/>
      <c r="B716" s="28"/>
      <c r="C716" s="28"/>
      <c r="D716" s="28"/>
      <c r="E716" s="3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ht="15.75" customHeight="1">
      <c r="A717" s="37"/>
      <c r="B717" s="28"/>
      <c r="C717" s="28"/>
      <c r="D717" s="28"/>
      <c r="E717" s="3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ht="15.75" customHeight="1">
      <c r="A718" s="37"/>
      <c r="B718" s="28"/>
      <c r="C718" s="28"/>
      <c r="D718" s="28"/>
      <c r="E718" s="3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ht="15.75" customHeight="1">
      <c r="A719" s="37"/>
      <c r="B719" s="28"/>
      <c r="C719" s="28"/>
      <c r="D719" s="28"/>
      <c r="E719" s="3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ht="15.75" customHeight="1">
      <c r="A720" s="37"/>
      <c r="B720" s="28"/>
      <c r="C720" s="28"/>
      <c r="D720" s="28"/>
      <c r="E720" s="3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ht="15.75" customHeight="1">
      <c r="A721" s="37"/>
      <c r="B721" s="28"/>
      <c r="C721" s="28"/>
      <c r="D721" s="28"/>
      <c r="E721" s="3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ht="15.75" customHeight="1">
      <c r="A722" s="37"/>
      <c r="B722" s="28"/>
      <c r="C722" s="28"/>
      <c r="D722" s="28"/>
      <c r="E722" s="3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ht="15.75" customHeight="1">
      <c r="A723" s="37"/>
      <c r="B723" s="28"/>
      <c r="C723" s="28"/>
      <c r="D723" s="28"/>
      <c r="E723" s="3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ht="15.75" customHeight="1">
      <c r="A724" s="37"/>
      <c r="B724" s="28"/>
      <c r="C724" s="28"/>
      <c r="D724" s="28"/>
      <c r="E724" s="3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ht="15.75" customHeight="1">
      <c r="A725" s="37"/>
      <c r="B725" s="28"/>
      <c r="C725" s="28"/>
      <c r="D725" s="28"/>
      <c r="E725" s="3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ht="15.75" customHeight="1">
      <c r="A726" s="37"/>
      <c r="B726" s="28"/>
      <c r="C726" s="28"/>
      <c r="D726" s="28"/>
      <c r="E726" s="3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ht="15.75" customHeight="1">
      <c r="A727" s="37"/>
      <c r="B727" s="28"/>
      <c r="C727" s="28"/>
      <c r="D727" s="28"/>
      <c r="E727" s="3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ht="15.75" customHeight="1">
      <c r="A728" s="37"/>
      <c r="B728" s="28"/>
      <c r="C728" s="28"/>
      <c r="D728" s="28"/>
      <c r="E728" s="3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ht="15.75" customHeight="1">
      <c r="A729" s="37"/>
      <c r="B729" s="28"/>
      <c r="C729" s="28"/>
      <c r="D729" s="28"/>
      <c r="E729" s="3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ht="15.75" customHeight="1">
      <c r="A730" s="37"/>
      <c r="B730" s="28"/>
      <c r="C730" s="28"/>
      <c r="D730" s="28"/>
      <c r="E730" s="3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ht="15.75" customHeight="1">
      <c r="A731" s="37"/>
      <c r="B731" s="28"/>
      <c r="C731" s="28"/>
      <c r="D731" s="28"/>
      <c r="E731" s="3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ht="15.75" customHeight="1">
      <c r="A732" s="37"/>
      <c r="B732" s="28"/>
      <c r="C732" s="28"/>
      <c r="D732" s="28"/>
      <c r="E732" s="3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ht="15.75" customHeight="1">
      <c r="A733" s="37"/>
      <c r="B733" s="28"/>
      <c r="C733" s="28"/>
      <c r="D733" s="28"/>
      <c r="E733" s="3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ht="15.75" customHeight="1">
      <c r="A734" s="37"/>
      <c r="B734" s="28"/>
      <c r="C734" s="28"/>
      <c r="D734" s="28"/>
      <c r="E734" s="3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ht="15.75" customHeight="1">
      <c r="A735" s="37"/>
      <c r="B735" s="28"/>
      <c r="C735" s="28"/>
      <c r="D735" s="28"/>
      <c r="E735" s="3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ht="15.75" customHeight="1">
      <c r="A736" s="37"/>
      <c r="B736" s="28"/>
      <c r="C736" s="28"/>
      <c r="D736" s="28"/>
      <c r="E736" s="3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ht="15.75" customHeight="1">
      <c r="A737" s="37"/>
      <c r="B737" s="28"/>
      <c r="C737" s="28"/>
      <c r="D737" s="28"/>
      <c r="E737" s="3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ht="15.75" customHeight="1">
      <c r="A738" s="37"/>
      <c r="B738" s="28"/>
      <c r="C738" s="28"/>
      <c r="D738" s="28"/>
      <c r="E738" s="3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ht="15.75" customHeight="1">
      <c r="A739" s="37"/>
      <c r="B739" s="28"/>
      <c r="C739" s="28"/>
      <c r="D739" s="28"/>
      <c r="E739" s="3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ht="15.75" customHeight="1">
      <c r="A740" s="37"/>
      <c r="B740" s="28"/>
      <c r="C740" s="28"/>
      <c r="D740" s="28"/>
      <c r="E740" s="3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ht="15.75" customHeight="1">
      <c r="A741" s="37"/>
      <c r="B741" s="28"/>
      <c r="C741" s="28"/>
      <c r="D741" s="28"/>
      <c r="E741" s="3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ht="15.75" customHeight="1">
      <c r="A742" s="37"/>
      <c r="B742" s="28"/>
      <c r="C742" s="28"/>
      <c r="D742" s="28"/>
      <c r="E742" s="3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ht="15.75" customHeight="1">
      <c r="A743" s="37"/>
      <c r="B743" s="28"/>
      <c r="C743" s="28"/>
      <c r="D743" s="28"/>
      <c r="E743" s="3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ht="15.75" customHeight="1">
      <c r="A744" s="37"/>
      <c r="B744" s="28"/>
      <c r="C744" s="28"/>
      <c r="D744" s="28"/>
      <c r="E744" s="3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ht="15.75" customHeight="1">
      <c r="A745" s="37"/>
      <c r="B745" s="28"/>
      <c r="C745" s="28"/>
      <c r="D745" s="28"/>
      <c r="E745" s="3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ht="15.75" customHeight="1">
      <c r="A746" s="37"/>
      <c r="B746" s="28"/>
      <c r="C746" s="28"/>
      <c r="D746" s="28"/>
      <c r="E746" s="3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ht="15.75" customHeight="1">
      <c r="A747" s="37"/>
      <c r="B747" s="28"/>
      <c r="C747" s="28"/>
      <c r="D747" s="28"/>
      <c r="E747" s="3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ht="15.75" customHeight="1">
      <c r="A748" s="37"/>
      <c r="B748" s="28"/>
      <c r="C748" s="28"/>
      <c r="D748" s="28"/>
      <c r="E748" s="3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ht="15.75" customHeight="1">
      <c r="A749" s="37"/>
      <c r="B749" s="28"/>
      <c r="C749" s="28"/>
      <c r="D749" s="28"/>
      <c r="E749" s="3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ht="15.75" customHeight="1">
      <c r="A750" s="37"/>
      <c r="B750" s="28"/>
      <c r="C750" s="28"/>
      <c r="D750" s="28"/>
      <c r="E750" s="3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ht="15.75" customHeight="1">
      <c r="A751" s="37"/>
      <c r="B751" s="28"/>
      <c r="C751" s="28"/>
      <c r="D751" s="28"/>
      <c r="E751" s="3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ht="15.75" customHeight="1">
      <c r="A752" s="37"/>
      <c r="B752" s="28"/>
      <c r="C752" s="28"/>
      <c r="D752" s="28"/>
      <c r="E752" s="3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ht="15.75" customHeight="1">
      <c r="A753" s="37"/>
      <c r="B753" s="28"/>
      <c r="C753" s="28"/>
      <c r="D753" s="28"/>
      <c r="E753" s="3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ht="15.75" customHeight="1">
      <c r="A754" s="37"/>
      <c r="B754" s="28"/>
      <c r="C754" s="28"/>
      <c r="D754" s="28"/>
      <c r="E754" s="3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ht="15.75" customHeight="1">
      <c r="A755" s="37"/>
      <c r="B755" s="28"/>
      <c r="C755" s="28"/>
      <c r="D755" s="28"/>
      <c r="E755" s="3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ht="15.75" customHeight="1">
      <c r="A756" s="37"/>
      <c r="B756" s="28"/>
      <c r="C756" s="28"/>
      <c r="D756" s="28"/>
      <c r="E756" s="3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ht="15.75" customHeight="1">
      <c r="A757" s="37"/>
      <c r="B757" s="28"/>
      <c r="C757" s="28"/>
      <c r="D757" s="28"/>
      <c r="E757" s="3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ht="15.75" customHeight="1">
      <c r="A758" s="37"/>
      <c r="B758" s="28"/>
      <c r="C758" s="28"/>
      <c r="D758" s="28"/>
      <c r="E758" s="3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ht="15.75" customHeight="1">
      <c r="A759" s="37"/>
      <c r="B759" s="28"/>
      <c r="C759" s="28"/>
      <c r="D759" s="28"/>
      <c r="E759" s="3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ht="15.75" customHeight="1">
      <c r="A760" s="37"/>
      <c r="B760" s="28"/>
      <c r="C760" s="28"/>
      <c r="D760" s="28"/>
      <c r="E760" s="3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ht="15.75" customHeight="1">
      <c r="A761" s="37"/>
      <c r="B761" s="28"/>
      <c r="C761" s="28"/>
      <c r="D761" s="28"/>
      <c r="E761" s="3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ht="15.75" customHeight="1">
      <c r="A762" s="37"/>
      <c r="B762" s="28"/>
      <c r="C762" s="28"/>
      <c r="D762" s="28"/>
      <c r="E762" s="3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ht="15.75" customHeight="1">
      <c r="A763" s="37"/>
      <c r="B763" s="28"/>
      <c r="C763" s="28"/>
      <c r="D763" s="28"/>
      <c r="E763" s="3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ht="15.75" customHeight="1">
      <c r="A764" s="37"/>
      <c r="B764" s="28"/>
      <c r="C764" s="28"/>
      <c r="D764" s="28"/>
      <c r="E764" s="3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ht="15.75" customHeight="1">
      <c r="A765" s="37"/>
      <c r="B765" s="28"/>
      <c r="C765" s="28"/>
      <c r="D765" s="28"/>
      <c r="E765" s="3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ht="15.75" customHeight="1">
      <c r="A766" s="37"/>
      <c r="B766" s="28"/>
      <c r="C766" s="28"/>
      <c r="D766" s="28"/>
      <c r="E766" s="3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ht="15.75" customHeight="1">
      <c r="A767" s="37"/>
      <c r="B767" s="28"/>
      <c r="C767" s="28"/>
      <c r="D767" s="28"/>
      <c r="E767" s="3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ht="15.75" customHeight="1">
      <c r="A768" s="37"/>
      <c r="B768" s="28"/>
      <c r="C768" s="28"/>
      <c r="D768" s="28"/>
      <c r="E768" s="3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ht="15.75" customHeight="1">
      <c r="A769" s="37"/>
      <c r="B769" s="28"/>
      <c r="C769" s="28"/>
      <c r="D769" s="28"/>
      <c r="E769" s="3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ht="15.75" customHeight="1">
      <c r="A770" s="37"/>
      <c r="B770" s="28"/>
      <c r="C770" s="28"/>
      <c r="D770" s="28"/>
      <c r="E770" s="3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ht="15.75" customHeight="1">
      <c r="A771" s="37"/>
      <c r="B771" s="28"/>
      <c r="C771" s="28"/>
      <c r="D771" s="28"/>
      <c r="E771" s="3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ht="15.75" customHeight="1">
      <c r="A772" s="37"/>
      <c r="B772" s="28"/>
      <c r="C772" s="28"/>
      <c r="D772" s="28"/>
      <c r="E772" s="3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ht="15.75" customHeight="1">
      <c r="A773" s="37"/>
      <c r="B773" s="28"/>
      <c r="C773" s="28"/>
      <c r="D773" s="28"/>
      <c r="E773" s="3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ht="15.75" customHeight="1">
      <c r="A774" s="37"/>
      <c r="B774" s="28"/>
      <c r="C774" s="28"/>
      <c r="D774" s="28"/>
      <c r="E774" s="3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ht="15.75" customHeight="1">
      <c r="A775" s="37"/>
      <c r="B775" s="28"/>
      <c r="C775" s="28"/>
      <c r="D775" s="28"/>
      <c r="E775" s="3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ht="15.75" customHeight="1">
      <c r="A776" s="37"/>
      <c r="B776" s="28"/>
      <c r="C776" s="28"/>
      <c r="D776" s="28"/>
      <c r="E776" s="3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ht="15.75" customHeight="1">
      <c r="A777" s="37"/>
      <c r="B777" s="28"/>
      <c r="C777" s="28"/>
      <c r="D777" s="28"/>
      <c r="E777" s="3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ht="15.75" customHeight="1">
      <c r="A778" s="37"/>
      <c r="B778" s="28"/>
      <c r="C778" s="28"/>
      <c r="D778" s="28"/>
      <c r="E778" s="3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ht="15.75" customHeight="1">
      <c r="A779" s="37"/>
      <c r="B779" s="28"/>
      <c r="C779" s="28"/>
      <c r="D779" s="28"/>
      <c r="E779" s="3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ht="15.75" customHeight="1">
      <c r="A780" s="37"/>
      <c r="B780" s="28"/>
      <c r="C780" s="28"/>
      <c r="D780" s="28"/>
      <c r="E780" s="3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ht="15.75" customHeight="1">
      <c r="A781" s="37"/>
      <c r="B781" s="28"/>
      <c r="C781" s="28"/>
      <c r="D781" s="28"/>
      <c r="E781" s="3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ht="15.75" customHeight="1">
      <c r="A782" s="37"/>
      <c r="B782" s="28"/>
      <c r="C782" s="28"/>
      <c r="D782" s="28"/>
      <c r="E782" s="3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ht="15.75" customHeight="1">
      <c r="A783" s="37"/>
      <c r="B783" s="28"/>
      <c r="C783" s="28"/>
      <c r="D783" s="28"/>
      <c r="E783" s="3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ht="15.75" customHeight="1">
      <c r="A784" s="37"/>
      <c r="B784" s="28"/>
      <c r="C784" s="28"/>
      <c r="D784" s="28"/>
      <c r="E784" s="3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ht="15.75" customHeight="1">
      <c r="A785" s="37"/>
      <c r="B785" s="28"/>
      <c r="C785" s="28"/>
      <c r="D785" s="28"/>
      <c r="E785" s="3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ht="15.75" customHeight="1">
      <c r="A786" s="37"/>
      <c r="B786" s="28"/>
      <c r="C786" s="28"/>
      <c r="D786" s="28"/>
      <c r="E786" s="3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ht="15.75" customHeight="1">
      <c r="A787" s="37"/>
      <c r="B787" s="28"/>
      <c r="C787" s="28"/>
      <c r="D787" s="28"/>
      <c r="E787" s="3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ht="15.75" customHeight="1">
      <c r="A788" s="37"/>
      <c r="B788" s="28"/>
      <c r="C788" s="28"/>
      <c r="D788" s="28"/>
      <c r="E788" s="3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ht="15.75" customHeight="1">
      <c r="A789" s="37"/>
      <c r="B789" s="28"/>
      <c r="C789" s="28"/>
      <c r="D789" s="28"/>
      <c r="E789" s="3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ht="15.75" customHeight="1">
      <c r="A790" s="37"/>
      <c r="B790" s="28"/>
      <c r="C790" s="28"/>
      <c r="D790" s="28"/>
      <c r="E790" s="3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ht="15.75" customHeight="1">
      <c r="A791" s="37"/>
      <c r="B791" s="28"/>
      <c r="C791" s="28"/>
      <c r="D791" s="28"/>
      <c r="E791" s="3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ht="15.75" customHeight="1">
      <c r="A792" s="37"/>
      <c r="B792" s="28"/>
      <c r="C792" s="28"/>
      <c r="D792" s="28"/>
      <c r="E792" s="3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ht="15.75" customHeight="1">
      <c r="A793" s="37"/>
      <c r="B793" s="28"/>
      <c r="C793" s="28"/>
      <c r="D793" s="28"/>
      <c r="E793" s="3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ht="15.75" customHeight="1">
      <c r="A794" s="37"/>
      <c r="B794" s="28"/>
      <c r="C794" s="28"/>
      <c r="D794" s="28"/>
      <c r="E794" s="3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ht="15.75" customHeight="1">
      <c r="A795" s="37"/>
      <c r="B795" s="28"/>
      <c r="C795" s="28"/>
      <c r="D795" s="28"/>
      <c r="E795" s="3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ht="15.75" customHeight="1">
      <c r="A796" s="37"/>
      <c r="B796" s="28"/>
      <c r="C796" s="28"/>
      <c r="D796" s="28"/>
      <c r="E796" s="3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ht="15.75" customHeight="1">
      <c r="A797" s="37"/>
      <c r="B797" s="28"/>
      <c r="C797" s="28"/>
      <c r="D797" s="28"/>
      <c r="E797" s="3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ht="15.75" customHeight="1">
      <c r="A798" s="37"/>
      <c r="B798" s="28"/>
      <c r="C798" s="28"/>
      <c r="D798" s="28"/>
      <c r="E798" s="3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ht="15.75" customHeight="1">
      <c r="A799" s="37"/>
      <c r="B799" s="28"/>
      <c r="C799" s="28"/>
      <c r="D799" s="28"/>
      <c r="E799" s="3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ht="15.75" customHeight="1">
      <c r="A800" s="37"/>
      <c r="B800" s="28"/>
      <c r="C800" s="28"/>
      <c r="D800" s="28"/>
      <c r="E800" s="3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ht="15.75" customHeight="1">
      <c r="A801" s="37"/>
      <c r="B801" s="28"/>
      <c r="C801" s="28"/>
      <c r="D801" s="28"/>
      <c r="E801" s="3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ht="15.75" customHeight="1">
      <c r="A802" s="37"/>
      <c r="B802" s="28"/>
      <c r="C802" s="28"/>
      <c r="D802" s="28"/>
      <c r="E802" s="3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ht="15.75" customHeight="1">
      <c r="A803" s="37"/>
      <c r="B803" s="28"/>
      <c r="C803" s="28"/>
      <c r="D803" s="28"/>
      <c r="E803" s="3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ht="15.75" customHeight="1">
      <c r="A804" s="37"/>
      <c r="B804" s="28"/>
      <c r="C804" s="28"/>
      <c r="D804" s="28"/>
      <c r="E804" s="3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ht="15.75" customHeight="1">
      <c r="A805" s="37"/>
      <c r="B805" s="28"/>
      <c r="C805" s="28"/>
      <c r="D805" s="28"/>
      <c r="E805" s="3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ht="15.75" customHeight="1">
      <c r="A806" s="37"/>
      <c r="B806" s="28"/>
      <c r="C806" s="28"/>
      <c r="D806" s="28"/>
      <c r="E806" s="3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ht="15.75" customHeight="1">
      <c r="A807" s="37"/>
      <c r="B807" s="28"/>
      <c r="C807" s="28"/>
      <c r="D807" s="28"/>
      <c r="E807" s="3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ht="15.75" customHeight="1">
      <c r="A808" s="37"/>
      <c r="B808" s="28"/>
      <c r="C808" s="28"/>
      <c r="D808" s="28"/>
      <c r="E808" s="3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ht="15.75" customHeight="1">
      <c r="A809" s="37"/>
      <c r="B809" s="28"/>
      <c r="C809" s="28"/>
      <c r="D809" s="28"/>
      <c r="E809" s="3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ht="15.75" customHeight="1">
      <c r="A810" s="37"/>
      <c r="B810" s="28"/>
      <c r="C810" s="28"/>
      <c r="D810" s="28"/>
      <c r="E810" s="3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ht="15.75" customHeight="1">
      <c r="A811" s="37"/>
      <c r="B811" s="28"/>
      <c r="C811" s="28"/>
      <c r="D811" s="28"/>
      <c r="E811" s="3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ht="15.75" customHeight="1">
      <c r="A812" s="37"/>
      <c r="B812" s="28"/>
      <c r="C812" s="28"/>
      <c r="D812" s="28"/>
      <c r="E812" s="3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ht="15.75" customHeight="1">
      <c r="A813" s="37"/>
      <c r="B813" s="28"/>
      <c r="C813" s="28"/>
      <c r="D813" s="28"/>
      <c r="E813" s="3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ht="15.75" customHeight="1">
      <c r="A814" s="37"/>
      <c r="B814" s="28"/>
      <c r="C814" s="28"/>
      <c r="D814" s="28"/>
      <c r="E814" s="3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ht="15.75" customHeight="1">
      <c r="A815" s="37"/>
      <c r="B815" s="28"/>
      <c r="C815" s="28"/>
      <c r="D815" s="28"/>
      <c r="E815" s="3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ht="15.75" customHeight="1">
      <c r="A816" s="37"/>
      <c r="B816" s="28"/>
      <c r="C816" s="28"/>
      <c r="D816" s="28"/>
      <c r="E816" s="3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ht="15.75" customHeight="1">
      <c r="A817" s="37"/>
      <c r="B817" s="28"/>
      <c r="C817" s="28"/>
      <c r="D817" s="28"/>
      <c r="E817" s="3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ht="15.75" customHeight="1">
      <c r="A818" s="37"/>
      <c r="B818" s="28"/>
      <c r="C818" s="28"/>
      <c r="D818" s="28"/>
      <c r="E818" s="3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ht="15.75" customHeight="1">
      <c r="A819" s="37"/>
      <c r="B819" s="28"/>
      <c r="C819" s="28"/>
      <c r="D819" s="28"/>
      <c r="E819" s="3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ht="15.75" customHeight="1">
      <c r="A820" s="37"/>
      <c r="B820" s="28"/>
      <c r="C820" s="28"/>
      <c r="D820" s="28"/>
      <c r="E820" s="3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ht="15.75" customHeight="1">
      <c r="A821" s="37"/>
      <c r="B821" s="28"/>
      <c r="C821" s="28"/>
      <c r="D821" s="28"/>
      <c r="E821" s="3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ht="15.75" customHeight="1">
      <c r="A822" s="37"/>
      <c r="B822" s="28"/>
      <c r="C822" s="28"/>
      <c r="D822" s="28"/>
      <c r="E822" s="3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ht="15.75" customHeight="1">
      <c r="A823" s="37"/>
      <c r="B823" s="28"/>
      <c r="C823" s="28"/>
      <c r="D823" s="28"/>
      <c r="E823" s="3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ht="15.75" customHeight="1">
      <c r="A824" s="37"/>
      <c r="B824" s="28"/>
      <c r="C824" s="28"/>
      <c r="D824" s="28"/>
      <c r="E824" s="3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ht="15.75" customHeight="1">
      <c r="A825" s="37"/>
      <c r="B825" s="28"/>
      <c r="C825" s="28"/>
      <c r="D825" s="28"/>
      <c r="E825" s="3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ht="15.75" customHeight="1">
      <c r="A826" s="37"/>
      <c r="B826" s="28"/>
      <c r="C826" s="28"/>
      <c r="D826" s="28"/>
      <c r="E826" s="3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ht="15.75" customHeight="1">
      <c r="A827" s="37"/>
      <c r="B827" s="28"/>
      <c r="C827" s="28"/>
      <c r="D827" s="28"/>
      <c r="E827" s="3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ht="15.75" customHeight="1">
      <c r="A828" s="37"/>
      <c r="B828" s="28"/>
      <c r="C828" s="28"/>
      <c r="D828" s="28"/>
      <c r="E828" s="3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ht="15.75" customHeight="1">
      <c r="A829" s="37"/>
      <c r="B829" s="28"/>
      <c r="C829" s="28"/>
      <c r="D829" s="28"/>
      <c r="E829" s="3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ht="15.75" customHeight="1">
      <c r="A830" s="37"/>
      <c r="B830" s="28"/>
      <c r="C830" s="28"/>
      <c r="D830" s="28"/>
      <c r="E830" s="3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ht="15.75" customHeight="1">
      <c r="A831" s="37"/>
      <c r="B831" s="28"/>
      <c r="C831" s="28"/>
      <c r="D831" s="28"/>
      <c r="E831" s="3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ht="15.75" customHeight="1">
      <c r="A832" s="37"/>
      <c r="B832" s="28"/>
      <c r="C832" s="28"/>
      <c r="D832" s="28"/>
      <c r="E832" s="3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ht="15.75" customHeight="1">
      <c r="A833" s="37"/>
      <c r="B833" s="28"/>
      <c r="C833" s="28"/>
      <c r="D833" s="28"/>
      <c r="E833" s="3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ht="15.75" customHeight="1">
      <c r="A834" s="37"/>
      <c r="B834" s="28"/>
      <c r="C834" s="28"/>
      <c r="D834" s="28"/>
      <c r="E834" s="3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ht="15.75" customHeight="1">
      <c r="A835" s="37"/>
      <c r="B835" s="28"/>
      <c r="C835" s="28"/>
      <c r="D835" s="28"/>
      <c r="E835" s="3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ht="15.75" customHeight="1">
      <c r="A836" s="37"/>
      <c r="B836" s="28"/>
      <c r="C836" s="28"/>
      <c r="D836" s="28"/>
      <c r="E836" s="3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ht="15.75" customHeight="1">
      <c r="A837" s="37"/>
      <c r="B837" s="28"/>
      <c r="C837" s="28"/>
      <c r="D837" s="28"/>
      <c r="E837" s="3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ht="15.75" customHeight="1">
      <c r="A838" s="37"/>
      <c r="B838" s="28"/>
      <c r="C838" s="28"/>
      <c r="D838" s="28"/>
      <c r="E838" s="3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ht="15.75" customHeight="1">
      <c r="A839" s="37"/>
      <c r="B839" s="28"/>
      <c r="C839" s="28"/>
      <c r="D839" s="28"/>
      <c r="E839" s="3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ht="15.75" customHeight="1">
      <c r="A840" s="37"/>
      <c r="B840" s="28"/>
      <c r="C840" s="28"/>
      <c r="D840" s="28"/>
      <c r="E840" s="3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ht="15.75" customHeight="1">
      <c r="A841" s="37"/>
      <c r="B841" s="28"/>
      <c r="C841" s="28"/>
      <c r="D841" s="28"/>
      <c r="E841" s="3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ht="15.75" customHeight="1">
      <c r="A842" s="37"/>
      <c r="B842" s="28"/>
      <c r="C842" s="28"/>
      <c r="D842" s="28"/>
      <c r="E842" s="3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ht="15.75" customHeight="1">
      <c r="A843" s="37"/>
      <c r="B843" s="28"/>
      <c r="C843" s="28"/>
      <c r="D843" s="28"/>
      <c r="E843" s="3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ht="15.75" customHeight="1">
      <c r="A844" s="37"/>
      <c r="B844" s="28"/>
      <c r="C844" s="28"/>
      <c r="D844" s="28"/>
      <c r="E844" s="3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ht="15.75" customHeight="1">
      <c r="A845" s="37"/>
      <c r="B845" s="28"/>
      <c r="C845" s="28"/>
      <c r="D845" s="28"/>
      <c r="E845" s="3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ht="15.75" customHeight="1">
      <c r="A846" s="37"/>
      <c r="B846" s="28"/>
      <c r="C846" s="28"/>
      <c r="D846" s="28"/>
      <c r="E846" s="3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ht="15.75" customHeight="1">
      <c r="A847" s="37"/>
      <c r="B847" s="28"/>
      <c r="C847" s="28"/>
      <c r="D847" s="28"/>
      <c r="E847" s="3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ht="15.75" customHeight="1">
      <c r="A848" s="37"/>
      <c r="B848" s="28"/>
      <c r="C848" s="28"/>
      <c r="D848" s="28"/>
      <c r="E848" s="3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ht="15.75" customHeight="1">
      <c r="A849" s="37"/>
      <c r="B849" s="28"/>
      <c r="C849" s="28"/>
      <c r="D849" s="28"/>
      <c r="E849" s="3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ht="15.75" customHeight="1">
      <c r="A850" s="37"/>
      <c r="B850" s="28"/>
      <c r="C850" s="28"/>
      <c r="D850" s="28"/>
      <c r="E850" s="3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ht="15.75" customHeight="1">
      <c r="A851" s="37"/>
      <c r="B851" s="28"/>
      <c r="C851" s="28"/>
      <c r="D851" s="28"/>
      <c r="E851" s="3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ht="15.75" customHeight="1">
      <c r="A852" s="37"/>
      <c r="B852" s="28"/>
      <c r="C852" s="28"/>
      <c r="D852" s="28"/>
      <c r="E852" s="3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ht="15.75" customHeight="1">
      <c r="A853" s="37"/>
      <c r="B853" s="28"/>
      <c r="C853" s="28"/>
      <c r="D853" s="28"/>
      <c r="E853" s="3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ht="15.75" customHeight="1">
      <c r="A854" s="37"/>
      <c r="B854" s="28"/>
      <c r="C854" s="28"/>
      <c r="D854" s="28"/>
      <c r="E854" s="3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ht="15.75" customHeight="1">
      <c r="A855" s="37"/>
      <c r="B855" s="28"/>
      <c r="C855" s="28"/>
      <c r="D855" s="28"/>
      <c r="E855" s="3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ht="15.75" customHeight="1">
      <c r="A856" s="37"/>
      <c r="B856" s="28"/>
      <c r="C856" s="28"/>
      <c r="D856" s="28"/>
      <c r="E856" s="3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ht="15.75" customHeight="1">
      <c r="A857" s="37"/>
      <c r="B857" s="28"/>
      <c r="C857" s="28"/>
      <c r="D857" s="28"/>
      <c r="E857" s="3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ht="15.75" customHeight="1">
      <c r="A858" s="37"/>
      <c r="B858" s="28"/>
      <c r="C858" s="28"/>
      <c r="D858" s="28"/>
      <c r="E858" s="3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ht="15.75" customHeight="1">
      <c r="A859" s="37"/>
      <c r="B859" s="28"/>
      <c r="C859" s="28"/>
      <c r="D859" s="28"/>
      <c r="E859" s="3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ht="15.75" customHeight="1">
      <c r="A860" s="37"/>
      <c r="B860" s="28"/>
      <c r="C860" s="28"/>
      <c r="D860" s="28"/>
      <c r="E860" s="3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ht="15.75" customHeight="1">
      <c r="A861" s="37"/>
      <c r="B861" s="28"/>
      <c r="C861" s="28"/>
      <c r="D861" s="28"/>
      <c r="E861" s="3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ht="15.75" customHeight="1">
      <c r="A862" s="37"/>
      <c r="B862" s="28"/>
      <c r="C862" s="28"/>
      <c r="D862" s="28"/>
      <c r="E862" s="3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ht="15.75" customHeight="1">
      <c r="A863" s="37"/>
      <c r="B863" s="28"/>
      <c r="C863" s="28"/>
      <c r="D863" s="28"/>
      <c r="E863" s="3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ht="15.75" customHeight="1">
      <c r="A864" s="37"/>
      <c r="B864" s="28"/>
      <c r="C864" s="28"/>
      <c r="D864" s="28"/>
      <c r="E864" s="3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ht="15.75" customHeight="1">
      <c r="A865" s="37"/>
      <c r="B865" s="28"/>
      <c r="C865" s="28"/>
      <c r="D865" s="28"/>
      <c r="E865" s="3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ht="15.75" customHeight="1">
      <c r="A866" s="37"/>
      <c r="B866" s="28"/>
      <c r="C866" s="28"/>
      <c r="D866" s="28"/>
      <c r="E866" s="3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ht="15.75" customHeight="1">
      <c r="A867" s="37"/>
      <c r="B867" s="28"/>
      <c r="C867" s="28"/>
      <c r="D867" s="28"/>
      <c r="E867" s="3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ht="15.75" customHeight="1">
      <c r="A868" s="37"/>
      <c r="B868" s="28"/>
      <c r="C868" s="28"/>
      <c r="D868" s="28"/>
      <c r="E868" s="3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ht="15.75" customHeight="1">
      <c r="A869" s="37"/>
      <c r="B869" s="28"/>
      <c r="C869" s="28"/>
      <c r="D869" s="28"/>
      <c r="E869" s="3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ht="15.75" customHeight="1">
      <c r="A870" s="37"/>
      <c r="B870" s="28"/>
      <c r="C870" s="28"/>
      <c r="D870" s="28"/>
      <c r="E870" s="3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ht="15.75" customHeight="1">
      <c r="A871" s="37"/>
      <c r="B871" s="28"/>
      <c r="C871" s="28"/>
      <c r="D871" s="28"/>
      <c r="E871" s="3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ht="15.75" customHeight="1">
      <c r="A872" s="37"/>
      <c r="B872" s="28"/>
      <c r="C872" s="28"/>
      <c r="D872" s="28"/>
      <c r="E872" s="3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ht="15.75" customHeight="1">
      <c r="A873" s="37"/>
      <c r="B873" s="28"/>
      <c r="C873" s="28"/>
      <c r="D873" s="28"/>
      <c r="E873" s="3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ht="15.75" customHeight="1">
      <c r="A874" s="37"/>
      <c r="B874" s="28"/>
      <c r="C874" s="28"/>
      <c r="D874" s="28"/>
      <c r="E874" s="3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ht="15.75" customHeight="1">
      <c r="A875" s="37"/>
      <c r="B875" s="28"/>
      <c r="C875" s="28"/>
      <c r="D875" s="28"/>
      <c r="E875" s="3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ht="15.75" customHeight="1">
      <c r="A876" s="37"/>
      <c r="B876" s="28"/>
      <c r="C876" s="28"/>
      <c r="D876" s="28"/>
      <c r="E876" s="3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ht="15.75" customHeight="1">
      <c r="A877" s="37"/>
      <c r="B877" s="28"/>
      <c r="C877" s="28"/>
      <c r="D877" s="28"/>
      <c r="E877" s="3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ht="15.75" customHeight="1">
      <c r="A878" s="37"/>
      <c r="B878" s="28"/>
      <c r="C878" s="28"/>
      <c r="D878" s="28"/>
      <c r="E878" s="3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ht="15.75" customHeight="1">
      <c r="A879" s="37"/>
      <c r="B879" s="28"/>
      <c r="C879" s="28"/>
      <c r="D879" s="28"/>
      <c r="E879" s="3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ht="15.75" customHeight="1">
      <c r="A880" s="37"/>
      <c r="B880" s="28"/>
      <c r="C880" s="28"/>
      <c r="D880" s="28"/>
      <c r="E880" s="3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ht="15.75" customHeight="1">
      <c r="A881" s="37"/>
      <c r="B881" s="28"/>
      <c r="C881" s="28"/>
      <c r="D881" s="28"/>
      <c r="E881" s="3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ht="15.75" customHeight="1">
      <c r="A882" s="37"/>
      <c r="B882" s="28"/>
      <c r="C882" s="28"/>
      <c r="D882" s="28"/>
      <c r="E882" s="3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ht="15.75" customHeight="1">
      <c r="A883" s="37"/>
      <c r="B883" s="28"/>
      <c r="C883" s="28"/>
      <c r="D883" s="28"/>
      <c r="E883" s="3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ht="15.75" customHeight="1">
      <c r="A884" s="37"/>
      <c r="B884" s="28"/>
      <c r="C884" s="28"/>
      <c r="D884" s="28"/>
      <c r="E884" s="3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ht="15.75" customHeight="1">
      <c r="A885" s="37"/>
      <c r="B885" s="28"/>
      <c r="C885" s="28"/>
      <c r="D885" s="28"/>
      <c r="E885" s="3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ht="15.75" customHeight="1">
      <c r="A886" s="37"/>
      <c r="B886" s="28"/>
      <c r="C886" s="28"/>
      <c r="D886" s="28"/>
      <c r="E886" s="3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ht="15.75" customHeight="1">
      <c r="A887" s="37"/>
      <c r="B887" s="28"/>
      <c r="C887" s="28"/>
      <c r="D887" s="28"/>
      <c r="E887" s="3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ht="15.75" customHeight="1">
      <c r="A888" s="37"/>
      <c r="B888" s="28"/>
      <c r="C888" s="28"/>
      <c r="D888" s="28"/>
      <c r="E888" s="3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ht="15.75" customHeight="1">
      <c r="A889" s="37"/>
      <c r="B889" s="28"/>
      <c r="C889" s="28"/>
      <c r="D889" s="28"/>
      <c r="E889" s="3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ht="15.75" customHeight="1">
      <c r="A890" s="37"/>
      <c r="B890" s="28"/>
      <c r="C890" s="28"/>
      <c r="D890" s="28"/>
      <c r="E890" s="3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ht="15.75" customHeight="1">
      <c r="A891" s="37"/>
      <c r="B891" s="28"/>
      <c r="C891" s="28"/>
      <c r="D891" s="28"/>
      <c r="E891" s="3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ht="15.75" customHeight="1">
      <c r="A892" s="37"/>
      <c r="B892" s="28"/>
      <c r="C892" s="28"/>
      <c r="D892" s="28"/>
      <c r="E892" s="3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ht="15.75" customHeight="1">
      <c r="A893" s="37"/>
      <c r="B893" s="28"/>
      <c r="C893" s="28"/>
      <c r="D893" s="28"/>
      <c r="E893" s="3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ht="15.75" customHeight="1">
      <c r="A894" s="37"/>
      <c r="B894" s="28"/>
      <c r="C894" s="28"/>
      <c r="D894" s="28"/>
      <c r="E894" s="3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ht="15.75" customHeight="1">
      <c r="A895" s="37"/>
      <c r="B895" s="28"/>
      <c r="C895" s="28"/>
      <c r="D895" s="28"/>
      <c r="E895" s="3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ht="15.75" customHeight="1">
      <c r="A896" s="37"/>
      <c r="B896" s="28"/>
      <c r="C896" s="28"/>
      <c r="D896" s="28"/>
      <c r="E896" s="3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ht="15.75" customHeight="1">
      <c r="A897" s="37"/>
      <c r="B897" s="28"/>
      <c r="C897" s="28"/>
      <c r="D897" s="28"/>
      <c r="E897" s="3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ht="15.75" customHeight="1">
      <c r="A898" s="37"/>
      <c r="B898" s="28"/>
      <c r="C898" s="28"/>
      <c r="D898" s="28"/>
      <c r="E898" s="3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ht="15.75" customHeight="1">
      <c r="A899" s="37"/>
      <c r="B899" s="28"/>
      <c r="C899" s="28"/>
      <c r="D899" s="28"/>
      <c r="E899" s="3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ht="15.75" customHeight="1">
      <c r="A900" s="37"/>
      <c r="B900" s="28"/>
      <c r="C900" s="28"/>
      <c r="D900" s="28"/>
      <c r="E900" s="3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ht="15.75" customHeight="1">
      <c r="A901" s="37"/>
      <c r="B901" s="28"/>
      <c r="C901" s="28"/>
      <c r="D901" s="28"/>
      <c r="E901" s="3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ht="15.75" customHeight="1">
      <c r="A902" s="37"/>
      <c r="B902" s="28"/>
      <c r="C902" s="28"/>
      <c r="D902" s="28"/>
      <c r="E902" s="3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ht="15.75" customHeight="1">
      <c r="A903" s="37"/>
      <c r="B903" s="28"/>
      <c r="C903" s="28"/>
      <c r="D903" s="28"/>
      <c r="E903" s="3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ht="15.75" customHeight="1">
      <c r="A904" s="37"/>
      <c r="B904" s="28"/>
      <c r="C904" s="28"/>
      <c r="D904" s="28"/>
      <c r="E904" s="3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ht="15.75" customHeight="1">
      <c r="A905" s="37"/>
      <c r="B905" s="28"/>
      <c r="C905" s="28"/>
      <c r="D905" s="28"/>
      <c r="E905" s="3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ht="15.75" customHeight="1">
      <c r="A906" s="37"/>
      <c r="B906" s="28"/>
      <c r="C906" s="28"/>
      <c r="D906" s="28"/>
      <c r="E906" s="3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ht="15.75" customHeight="1">
      <c r="A907" s="37"/>
      <c r="B907" s="28"/>
      <c r="C907" s="28"/>
      <c r="D907" s="28"/>
      <c r="E907" s="3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ht="15.75" customHeight="1">
      <c r="A908" s="37"/>
      <c r="B908" s="28"/>
      <c r="C908" s="28"/>
      <c r="D908" s="28"/>
      <c r="E908" s="3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ht="15.75" customHeight="1">
      <c r="A909" s="37"/>
      <c r="B909" s="28"/>
      <c r="C909" s="28"/>
      <c r="D909" s="28"/>
      <c r="E909" s="3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ht="15.75" customHeight="1">
      <c r="A910" s="37"/>
      <c r="B910" s="28"/>
      <c r="C910" s="28"/>
      <c r="D910" s="28"/>
      <c r="E910" s="3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ht="15.75" customHeight="1">
      <c r="A911" s="37"/>
      <c r="B911" s="28"/>
      <c r="C911" s="28"/>
      <c r="D911" s="28"/>
      <c r="E911" s="3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ht="15.75" customHeight="1">
      <c r="A912" s="37"/>
      <c r="B912" s="28"/>
      <c r="C912" s="28"/>
      <c r="D912" s="28"/>
      <c r="E912" s="3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ht="15.75" customHeight="1">
      <c r="A913" s="37"/>
      <c r="B913" s="28"/>
      <c r="C913" s="28"/>
      <c r="D913" s="28"/>
      <c r="E913" s="3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ht="15.75" customHeight="1">
      <c r="A914" s="37"/>
      <c r="B914" s="28"/>
      <c r="C914" s="28"/>
      <c r="D914" s="28"/>
      <c r="E914" s="3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ht="15.75" customHeight="1">
      <c r="A915" s="37"/>
      <c r="B915" s="28"/>
      <c r="C915" s="28"/>
      <c r="D915" s="28"/>
      <c r="E915" s="3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ht="15.75" customHeight="1">
      <c r="A916" s="37"/>
      <c r="B916" s="28"/>
      <c r="C916" s="28"/>
      <c r="D916" s="28"/>
      <c r="E916" s="3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ht="15.75" customHeight="1">
      <c r="A917" s="37"/>
      <c r="B917" s="28"/>
      <c r="C917" s="28"/>
      <c r="D917" s="28"/>
      <c r="E917" s="3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ht="15.75" customHeight="1">
      <c r="A918" s="37"/>
      <c r="B918" s="28"/>
      <c r="C918" s="28"/>
      <c r="D918" s="28"/>
      <c r="E918" s="3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ht="15.75" customHeight="1">
      <c r="A919" s="37"/>
      <c r="B919" s="28"/>
      <c r="C919" s="28"/>
      <c r="D919" s="28"/>
      <c r="E919" s="3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ht="15.75" customHeight="1">
      <c r="A920" s="37"/>
      <c r="B920" s="28"/>
      <c r="C920" s="28"/>
      <c r="D920" s="28"/>
      <c r="E920" s="3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ht="15.75" customHeight="1">
      <c r="A921" s="37"/>
      <c r="B921" s="28"/>
      <c r="C921" s="28"/>
      <c r="D921" s="28"/>
      <c r="E921" s="3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ht="15.75" customHeight="1">
      <c r="A922" s="37"/>
      <c r="B922" s="28"/>
      <c r="C922" s="28"/>
      <c r="D922" s="28"/>
      <c r="E922" s="3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ht="15.75" customHeight="1">
      <c r="A923" s="37"/>
      <c r="B923" s="28"/>
      <c r="C923" s="28"/>
      <c r="D923" s="28"/>
      <c r="E923" s="3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ht="15.75" customHeight="1">
      <c r="A924" s="37"/>
      <c r="B924" s="28"/>
      <c r="C924" s="28"/>
      <c r="D924" s="28"/>
      <c r="E924" s="3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ht="15.75" customHeight="1">
      <c r="A925" s="37"/>
      <c r="B925" s="28"/>
      <c r="C925" s="28"/>
      <c r="D925" s="28"/>
      <c r="E925" s="3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ht="15.75" customHeight="1">
      <c r="A926" s="37"/>
      <c r="B926" s="28"/>
      <c r="C926" s="28"/>
      <c r="D926" s="28"/>
      <c r="E926" s="3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ht="15.75" customHeight="1">
      <c r="A927" s="37"/>
      <c r="B927" s="28"/>
      <c r="C927" s="28"/>
      <c r="D927" s="28"/>
      <c r="E927" s="3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ht="15.75" customHeight="1">
      <c r="A928" s="37"/>
      <c r="B928" s="28"/>
      <c r="C928" s="28"/>
      <c r="D928" s="28"/>
      <c r="E928" s="3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ht="15.75" customHeight="1">
      <c r="A929" s="37"/>
      <c r="B929" s="28"/>
      <c r="C929" s="28"/>
      <c r="D929" s="28"/>
      <c r="E929" s="3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ht="15.75" customHeight="1">
      <c r="A930" s="37"/>
      <c r="B930" s="28"/>
      <c r="C930" s="28"/>
      <c r="D930" s="28"/>
      <c r="E930" s="3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ht="15.75" customHeight="1">
      <c r="A931" s="37"/>
      <c r="B931" s="28"/>
      <c r="C931" s="28"/>
      <c r="D931" s="28"/>
      <c r="E931" s="3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ht="15.75" customHeight="1">
      <c r="A932" s="37"/>
      <c r="B932" s="28"/>
      <c r="C932" s="28"/>
      <c r="D932" s="28"/>
      <c r="E932" s="3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ht="15.75" customHeight="1">
      <c r="A933" s="37"/>
      <c r="B933" s="28"/>
      <c r="C933" s="28"/>
      <c r="D933" s="28"/>
      <c r="E933" s="3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ht="15.75" customHeight="1">
      <c r="A934" s="37"/>
      <c r="B934" s="28"/>
      <c r="C934" s="28"/>
      <c r="D934" s="28"/>
      <c r="E934" s="3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ht="15.75" customHeight="1">
      <c r="A935" s="37"/>
      <c r="B935" s="28"/>
      <c r="C935" s="28"/>
      <c r="D935" s="28"/>
      <c r="E935" s="3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ht="15.75" customHeight="1">
      <c r="A936" s="37"/>
      <c r="B936" s="28"/>
      <c r="C936" s="28"/>
      <c r="D936" s="28"/>
      <c r="E936" s="3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ht="15.75" customHeight="1">
      <c r="A937" s="37"/>
      <c r="B937" s="28"/>
      <c r="C937" s="28"/>
      <c r="D937" s="28"/>
      <c r="E937" s="3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ht="15.75" customHeight="1">
      <c r="A938" s="37"/>
      <c r="B938" s="28"/>
      <c r="C938" s="28"/>
      <c r="D938" s="28"/>
      <c r="E938" s="3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ht="15.75" customHeight="1">
      <c r="A939" s="37"/>
      <c r="B939" s="28"/>
      <c r="C939" s="28"/>
      <c r="D939" s="28"/>
      <c r="E939" s="3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ht="15.75" customHeight="1">
      <c r="A940" s="37"/>
      <c r="B940" s="28"/>
      <c r="C940" s="28"/>
      <c r="D940" s="28"/>
      <c r="E940" s="3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ht="15.75" customHeight="1">
      <c r="A941" s="37"/>
      <c r="B941" s="28"/>
      <c r="C941" s="28"/>
      <c r="D941" s="28"/>
      <c r="E941" s="3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ht="15.75" customHeight="1">
      <c r="A942" s="37"/>
      <c r="B942" s="28"/>
      <c r="C942" s="28"/>
      <c r="D942" s="28"/>
      <c r="E942" s="3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ht="15.75" customHeight="1">
      <c r="A943" s="37"/>
      <c r="B943" s="28"/>
      <c r="C943" s="28"/>
      <c r="D943" s="28"/>
      <c r="E943" s="3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ht="15.75" customHeight="1">
      <c r="A944" s="37"/>
      <c r="B944" s="28"/>
      <c r="C944" s="28"/>
      <c r="D944" s="28"/>
      <c r="E944" s="3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ht="15.75" customHeight="1">
      <c r="A945" s="37"/>
      <c r="B945" s="28"/>
      <c r="C945" s="28"/>
      <c r="D945" s="28"/>
      <c r="E945" s="3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ht="15.75" customHeight="1">
      <c r="A946" s="37"/>
      <c r="B946" s="28"/>
      <c r="C946" s="28"/>
      <c r="D946" s="28"/>
      <c r="E946" s="3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ht="15.75" customHeight="1">
      <c r="A947" s="37"/>
      <c r="B947" s="28"/>
      <c r="C947" s="28"/>
      <c r="D947" s="28"/>
      <c r="E947" s="3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ht="15.75" customHeight="1">
      <c r="A948" s="37"/>
      <c r="B948" s="28"/>
      <c r="C948" s="28"/>
      <c r="D948" s="28"/>
      <c r="E948" s="3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ht="15.75" customHeight="1">
      <c r="A949" s="37"/>
      <c r="B949" s="28"/>
      <c r="C949" s="28"/>
      <c r="D949" s="28"/>
      <c r="E949" s="3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ht="15.75" customHeight="1">
      <c r="A950" s="37"/>
      <c r="B950" s="28"/>
      <c r="C950" s="28"/>
      <c r="D950" s="28"/>
      <c r="E950" s="3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ht="15.75" customHeight="1">
      <c r="A951" s="37"/>
      <c r="B951" s="28"/>
      <c r="C951" s="28"/>
      <c r="D951" s="28"/>
      <c r="E951" s="3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ht="15.75" customHeight="1">
      <c r="A952" s="37"/>
      <c r="B952" s="28"/>
      <c r="C952" s="28"/>
      <c r="D952" s="28"/>
      <c r="E952" s="3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ht="15.75" customHeight="1">
      <c r="A953" s="37"/>
      <c r="B953" s="28"/>
      <c r="C953" s="28"/>
      <c r="D953" s="28"/>
      <c r="E953" s="3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ht="15.75" customHeight="1">
      <c r="A954" s="37"/>
      <c r="B954" s="28"/>
      <c r="C954" s="28"/>
      <c r="D954" s="28"/>
      <c r="E954" s="3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ht="15.75" customHeight="1">
      <c r="A955" s="37"/>
      <c r="B955" s="28"/>
      <c r="C955" s="28"/>
      <c r="D955" s="28"/>
      <c r="E955" s="3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ht="15.75" customHeight="1">
      <c r="A956" s="37"/>
      <c r="B956" s="28"/>
      <c r="C956" s="28"/>
      <c r="D956" s="28"/>
      <c r="E956" s="3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ht="15.75" customHeight="1">
      <c r="A957" s="37"/>
      <c r="B957" s="28"/>
      <c r="C957" s="28"/>
      <c r="D957" s="28"/>
      <c r="E957" s="3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ht="15.75" customHeight="1">
      <c r="A958" s="37"/>
      <c r="B958" s="28"/>
      <c r="C958" s="28"/>
      <c r="D958" s="28"/>
      <c r="E958" s="3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ht="15.75" customHeight="1">
      <c r="A959" s="37"/>
      <c r="B959" s="28"/>
      <c r="C959" s="28"/>
      <c r="D959" s="28"/>
      <c r="E959" s="3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ht="15.75" customHeight="1">
      <c r="A960" s="37"/>
      <c r="B960" s="28"/>
      <c r="C960" s="28"/>
      <c r="D960" s="28"/>
      <c r="E960" s="3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ht="15.75" customHeight="1">
      <c r="A961" s="37"/>
      <c r="B961" s="28"/>
      <c r="C961" s="28"/>
      <c r="D961" s="28"/>
      <c r="E961" s="3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ht="15.75" customHeight="1">
      <c r="A962" s="37"/>
      <c r="B962" s="28"/>
      <c r="C962" s="28"/>
      <c r="D962" s="28"/>
      <c r="E962" s="3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ht="15.75" customHeight="1">
      <c r="A963" s="37"/>
      <c r="B963" s="28"/>
      <c r="C963" s="28"/>
      <c r="D963" s="28"/>
      <c r="E963" s="3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ht="15.75" customHeight="1">
      <c r="A964" s="37"/>
      <c r="B964" s="28"/>
      <c r="C964" s="28"/>
      <c r="D964" s="28"/>
      <c r="E964" s="3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ht="15.75" customHeight="1">
      <c r="A965" s="37"/>
      <c r="B965" s="28"/>
      <c r="C965" s="28"/>
      <c r="D965" s="28"/>
      <c r="E965" s="3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ht="15.75" customHeight="1">
      <c r="A966" s="37"/>
      <c r="B966" s="28"/>
      <c r="C966" s="28"/>
      <c r="D966" s="28"/>
      <c r="E966" s="3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ht="15.75" customHeight="1">
      <c r="A967" s="37"/>
      <c r="B967" s="28"/>
      <c r="C967" s="28"/>
      <c r="D967" s="28"/>
      <c r="E967" s="3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ht="15.75" customHeight="1">
      <c r="A968" s="37"/>
      <c r="B968" s="28"/>
      <c r="C968" s="28"/>
      <c r="D968" s="28"/>
      <c r="E968" s="3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ht="15.75" customHeight="1">
      <c r="A969" s="37"/>
      <c r="B969" s="28"/>
      <c r="C969" s="28"/>
      <c r="D969" s="28"/>
      <c r="E969" s="3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ht="15.75" customHeight="1">
      <c r="A970" s="37"/>
      <c r="B970" s="28"/>
      <c r="C970" s="28"/>
      <c r="D970" s="28"/>
      <c r="E970" s="3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ht="15.75" customHeight="1">
      <c r="A971" s="37"/>
      <c r="B971" s="28"/>
      <c r="C971" s="28"/>
      <c r="D971" s="28"/>
      <c r="E971" s="3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ht="15.75" customHeight="1">
      <c r="A972" s="37"/>
      <c r="B972" s="28"/>
      <c r="C972" s="28"/>
      <c r="D972" s="28"/>
      <c r="E972" s="3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ht="15.75" customHeight="1">
      <c r="A973" s="37"/>
      <c r="B973" s="28"/>
      <c r="C973" s="28"/>
      <c r="D973" s="28"/>
      <c r="E973" s="3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ht="15.75" customHeight="1">
      <c r="A974" s="37"/>
      <c r="B974" s="28"/>
      <c r="C974" s="28"/>
      <c r="D974" s="28"/>
      <c r="E974" s="3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ht="15.75" customHeight="1">
      <c r="A975" s="37"/>
      <c r="B975" s="28"/>
      <c r="C975" s="28"/>
      <c r="D975" s="28"/>
      <c r="E975" s="3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ht="15.75" customHeight="1">
      <c r="A976" s="37"/>
      <c r="B976" s="28"/>
      <c r="C976" s="28"/>
      <c r="D976" s="28"/>
      <c r="E976" s="3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ht="15.75" customHeight="1">
      <c r="A977" s="37"/>
      <c r="B977" s="28"/>
      <c r="C977" s="28"/>
      <c r="D977" s="28"/>
      <c r="E977" s="3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ht="15.75" customHeight="1">
      <c r="A978" s="37"/>
      <c r="B978" s="28"/>
      <c r="C978" s="28"/>
      <c r="D978" s="28"/>
      <c r="E978" s="3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ht="15.75" customHeight="1">
      <c r="A979" s="37"/>
      <c r="B979" s="28"/>
      <c r="C979" s="28"/>
      <c r="D979" s="28"/>
      <c r="E979" s="3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ht="15.75" customHeight="1">
      <c r="A980" s="37"/>
      <c r="B980" s="28"/>
      <c r="C980" s="28"/>
      <c r="D980" s="28"/>
      <c r="E980" s="3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ht="15.75" customHeight="1">
      <c r="A981" s="37"/>
      <c r="B981" s="28"/>
      <c r="C981" s="28"/>
      <c r="D981" s="28"/>
      <c r="E981" s="3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ht="15.75" customHeight="1">
      <c r="A982" s="37"/>
      <c r="B982" s="28"/>
      <c r="C982" s="28"/>
      <c r="D982" s="28"/>
      <c r="E982" s="3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ht="15.75" customHeight="1">
      <c r="A983" s="37"/>
      <c r="B983" s="28"/>
      <c r="C983" s="28"/>
      <c r="D983" s="28"/>
      <c r="E983" s="3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ht="15.75" customHeight="1">
      <c r="A984" s="37"/>
      <c r="B984" s="28"/>
      <c r="C984" s="28"/>
      <c r="D984" s="28"/>
      <c r="E984" s="3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ht="15.75" customHeight="1">
      <c r="A985" s="37"/>
      <c r="B985" s="28"/>
      <c r="C985" s="28"/>
      <c r="D985" s="28"/>
      <c r="E985" s="3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ht="15.75" customHeight="1">
      <c r="A986" s="37"/>
      <c r="B986" s="28"/>
      <c r="C986" s="28"/>
      <c r="D986" s="28"/>
      <c r="E986" s="3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ht="15.75" customHeight="1">
      <c r="A987" s="37"/>
      <c r="B987" s="28"/>
      <c r="C987" s="28"/>
      <c r="D987" s="28"/>
      <c r="E987" s="3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ht="15.75" customHeight="1">
      <c r="A988" s="37"/>
      <c r="B988" s="28"/>
      <c r="C988" s="28"/>
      <c r="D988" s="28"/>
      <c r="E988" s="3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ht="15.75" customHeight="1">
      <c r="A989" s="37"/>
      <c r="B989" s="28"/>
      <c r="C989" s="28"/>
      <c r="D989" s="28"/>
      <c r="E989" s="3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ht="15.75" customHeight="1">
      <c r="A990" s="37"/>
      <c r="B990" s="28"/>
      <c r="C990" s="28"/>
      <c r="D990" s="28"/>
      <c r="E990" s="3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ht="15.75" customHeight="1">
      <c r="A991" s="37"/>
      <c r="B991" s="28"/>
      <c r="C991" s="28"/>
      <c r="D991" s="28"/>
      <c r="E991" s="3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ht="15.75" customHeight="1">
      <c r="A992" s="37"/>
      <c r="B992" s="28"/>
      <c r="C992" s="28"/>
      <c r="D992" s="28"/>
      <c r="E992" s="3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ht="15.75" customHeight="1">
      <c r="A993" s="37"/>
      <c r="B993" s="28"/>
      <c r="C993" s="28"/>
      <c r="D993" s="28"/>
      <c r="E993" s="3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 ht="15.75" customHeight="1">
      <c r="A994" s="37"/>
      <c r="B994" s="28"/>
      <c r="C994" s="28"/>
      <c r="D994" s="28"/>
      <c r="E994" s="3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 ht="15.75" customHeight="1">
      <c r="A995" s="37"/>
      <c r="B995" s="28"/>
      <c r="C995" s="28"/>
      <c r="D995" s="28"/>
      <c r="E995" s="3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 ht="15.75" customHeight="1">
      <c r="A996" s="37"/>
      <c r="B996" s="28"/>
      <c r="C996" s="28"/>
      <c r="D996" s="28"/>
      <c r="E996" s="3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 ht="15.75" customHeight="1">
      <c r="A997" s="37"/>
      <c r="B997" s="28"/>
      <c r="C997" s="28"/>
      <c r="D997" s="28"/>
      <c r="E997" s="3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 ht="15.75" customHeight="1">
      <c r="A998" s="37"/>
      <c r="B998" s="28"/>
      <c r="C998" s="28"/>
      <c r="D998" s="28"/>
      <c r="E998" s="3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 ht="15.75" customHeight="1">
      <c r="A999" s="37"/>
      <c r="B999" s="28"/>
      <c r="C999" s="28"/>
      <c r="D999" s="28"/>
      <c r="E999" s="3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 ht="15.75" customHeight="1">
      <c r="A1000" s="37"/>
      <c r="B1000" s="28"/>
      <c r="C1000" s="28"/>
      <c r="D1000" s="28"/>
      <c r="E1000" s="3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</sheetData>
  <mergeCells count="1">
    <mergeCell ref="A1:E1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3.86"/>
    <col customWidth="1" min="2" max="2" width="8.71"/>
    <col customWidth="1" min="3" max="8" width="10.71"/>
    <col customWidth="1" min="9" max="9" width="14.43"/>
    <col customWidth="1" min="10" max="16" width="10.71"/>
    <col customWidth="1" min="17" max="17" width="14.14"/>
    <col customWidth="1" min="18" max="24" width="10.71"/>
    <col customWidth="1" min="25" max="25" width="13.86"/>
    <col customWidth="1" min="26" max="26" width="10.71"/>
  </cols>
  <sheetData>
    <row r="1">
      <c r="A1" s="38"/>
      <c r="B1" s="38"/>
      <c r="C1" s="39" t="s">
        <v>52</v>
      </c>
      <c r="D1" s="38"/>
      <c r="E1" s="38"/>
      <c r="F1" s="38"/>
      <c r="G1" s="38"/>
      <c r="H1" s="38"/>
      <c r="I1" s="40" t="s">
        <v>53</v>
      </c>
      <c r="J1" s="38"/>
      <c r="K1" s="38"/>
      <c r="L1" s="38"/>
      <c r="M1" s="38"/>
      <c r="N1" s="38"/>
      <c r="O1" s="38"/>
      <c r="P1" s="38"/>
      <c r="Q1" s="40" t="s">
        <v>53</v>
      </c>
      <c r="R1" s="38"/>
      <c r="S1" s="38"/>
      <c r="T1" s="38"/>
      <c r="U1" s="38"/>
      <c r="V1" s="38"/>
      <c r="W1" s="38"/>
      <c r="X1" s="38"/>
      <c r="Y1" s="40" t="s">
        <v>53</v>
      </c>
      <c r="Z1" s="38"/>
    </row>
    <row r="2">
      <c r="A2" s="26" t="s">
        <v>54</v>
      </c>
      <c r="B2" s="26" t="s">
        <v>55</v>
      </c>
      <c r="C2" s="41">
        <v>45403.0</v>
      </c>
      <c r="D2" s="41">
        <v>45404.0</v>
      </c>
      <c r="E2" s="41">
        <v>45405.0</v>
      </c>
      <c r="F2" s="41">
        <v>45406.0</v>
      </c>
      <c r="G2" s="41">
        <v>45407.0</v>
      </c>
      <c r="H2" s="41">
        <v>45408.0</v>
      </c>
      <c r="I2" s="41"/>
      <c r="J2" s="41">
        <v>46139.0</v>
      </c>
      <c r="K2" s="41">
        <v>46140.0</v>
      </c>
      <c r="L2" s="41">
        <v>46141.0</v>
      </c>
      <c r="M2" s="41">
        <v>46142.0</v>
      </c>
      <c r="N2" s="41">
        <v>46143.0</v>
      </c>
      <c r="O2" s="41">
        <v>46144.0</v>
      </c>
      <c r="P2" s="41">
        <v>46145.0</v>
      </c>
      <c r="Q2" s="41"/>
      <c r="R2" s="41">
        <v>46146.0</v>
      </c>
      <c r="S2" s="41">
        <v>46147.0</v>
      </c>
      <c r="T2" s="41">
        <v>46148.0</v>
      </c>
      <c r="U2" s="41">
        <v>46149.0</v>
      </c>
      <c r="V2" s="41">
        <v>46150.0</v>
      </c>
      <c r="W2" s="41">
        <v>46151.0</v>
      </c>
      <c r="X2" s="41">
        <v>46152.0</v>
      </c>
      <c r="Y2" s="41"/>
      <c r="Z2" s="41"/>
    </row>
    <row r="3">
      <c r="A3" s="42">
        <v>46132.0</v>
      </c>
      <c r="B3" s="43" t="s">
        <v>56</v>
      </c>
      <c r="C3" s="44"/>
      <c r="D3" s="44"/>
      <c r="E3" s="44"/>
      <c r="F3" s="44"/>
      <c r="G3" s="44"/>
      <c r="H3" s="44"/>
      <c r="I3" s="45" t="s">
        <v>57</v>
      </c>
      <c r="J3" s="44">
        <v>640.0</v>
      </c>
      <c r="K3" s="44">
        <v>640.0</v>
      </c>
      <c r="L3" s="44">
        <v>100.0</v>
      </c>
      <c r="M3" s="44">
        <v>100.0</v>
      </c>
      <c r="N3" s="44">
        <v>100.0</v>
      </c>
      <c r="O3" s="44"/>
      <c r="P3" s="44">
        <v>100.0</v>
      </c>
      <c r="Q3" s="46">
        <f t="shared" ref="Q3:Q23" si="1">AVERAGE(J3:P3)</f>
        <v>280</v>
      </c>
      <c r="R3" s="44">
        <v>100.0</v>
      </c>
      <c r="S3" s="44">
        <v>100.0</v>
      </c>
      <c r="T3" s="44">
        <v>100.0</v>
      </c>
      <c r="U3" s="44">
        <v>100.0</v>
      </c>
      <c r="V3" s="44">
        <v>100.0</v>
      </c>
      <c r="X3" s="44">
        <v>100.0</v>
      </c>
      <c r="Y3" s="47">
        <f t="shared" ref="Y3:Y6" si="2">AVERAGE(R3:X3)</f>
        <v>100</v>
      </c>
    </row>
    <row r="4">
      <c r="A4" s="41">
        <v>46136.0</v>
      </c>
      <c r="B4" s="26" t="s">
        <v>58</v>
      </c>
      <c r="C4" s="25"/>
      <c r="D4" s="25"/>
      <c r="E4" s="25"/>
      <c r="J4" s="24">
        <v>412.0</v>
      </c>
      <c r="K4" s="24">
        <v>423.0</v>
      </c>
      <c r="L4" s="24">
        <v>460.0</v>
      </c>
      <c r="M4" s="24">
        <v>428.0</v>
      </c>
      <c r="N4" s="24">
        <v>433.0</v>
      </c>
      <c r="P4" s="48" t="s">
        <v>59</v>
      </c>
      <c r="Q4" s="49">
        <f t="shared" si="1"/>
        <v>431.2</v>
      </c>
      <c r="R4" s="24">
        <v>419.0</v>
      </c>
      <c r="S4" s="24">
        <v>468.0</v>
      </c>
      <c r="T4" s="24">
        <v>49.0</v>
      </c>
      <c r="U4" s="24">
        <v>418.0</v>
      </c>
      <c r="V4" s="24">
        <v>531.0</v>
      </c>
      <c r="X4" s="24">
        <v>444.0</v>
      </c>
      <c r="Y4" s="47">
        <f t="shared" si="2"/>
        <v>388.1666667</v>
      </c>
    </row>
    <row r="5">
      <c r="A5" s="41">
        <v>46136.0</v>
      </c>
      <c r="B5" s="26" t="s">
        <v>60</v>
      </c>
      <c r="C5" s="25"/>
      <c r="D5" s="25"/>
      <c r="E5" s="25"/>
      <c r="J5" s="24">
        <v>288.0</v>
      </c>
      <c r="K5" s="24">
        <v>297.0</v>
      </c>
      <c r="L5" s="24">
        <v>292.0</v>
      </c>
      <c r="M5" s="24">
        <v>235.0</v>
      </c>
      <c r="N5" s="24">
        <v>258.0</v>
      </c>
      <c r="P5" s="24">
        <v>409.0</v>
      </c>
      <c r="Q5" s="49">
        <f t="shared" si="1"/>
        <v>296.5</v>
      </c>
      <c r="R5" s="24">
        <v>370.0</v>
      </c>
      <c r="S5" s="24">
        <v>394.0</v>
      </c>
      <c r="T5" s="24">
        <v>340.0</v>
      </c>
      <c r="U5" s="24">
        <v>424.0</v>
      </c>
      <c r="V5" s="24">
        <v>427.0</v>
      </c>
      <c r="X5" s="24">
        <v>334.0</v>
      </c>
      <c r="Y5" s="47">
        <f t="shared" si="2"/>
        <v>381.5</v>
      </c>
    </row>
    <row r="6">
      <c r="A6" s="41">
        <v>46136.0</v>
      </c>
      <c r="B6" s="26" t="s">
        <v>61</v>
      </c>
      <c r="C6" s="25"/>
      <c r="D6" s="25"/>
      <c r="E6" s="25"/>
      <c r="J6" s="24">
        <v>401.0</v>
      </c>
      <c r="K6" s="24">
        <v>329.0</v>
      </c>
      <c r="L6" s="24">
        <v>425.0</v>
      </c>
      <c r="M6" s="24">
        <v>359.0</v>
      </c>
      <c r="N6" s="48" t="s">
        <v>59</v>
      </c>
      <c r="P6" s="24">
        <v>481.0</v>
      </c>
      <c r="Q6" s="49">
        <f t="shared" si="1"/>
        <v>399</v>
      </c>
      <c r="R6" s="24">
        <v>482.0</v>
      </c>
      <c r="S6" s="24">
        <v>574.0</v>
      </c>
      <c r="T6" s="24">
        <v>559.0</v>
      </c>
      <c r="U6" s="24">
        <v>554.0</v>
      </c>
      <c r="V6" s="24">
        <v>564.0</v>
      </c>
      <c r="X6" s="24">
        <v>800.0</v>
      </c>
      <c r="Y6" s="47">
        <f t="shared" si="2"/>
        <v>588.8333333</v>
      </c>
    </row>
    <row r="7">
      <c r="A7" s="41">
        <v>46136.0</v>
      </c>
      <c r="B7" s="26" t="s">
        <v>62</v>
      </c>
      <c r="C7" s="25"/>
      <c r="D7" s="25"/>
      <c r="E7" s="25"/>
      <c r="J7" s="48" t="s">
        <v>59</v>
      </c>
      <c r="K7" s="24">
        <v>319.0</v>
      </c>
      <c r="L7" s="25"/>
      <c r="M7" s="25"/>
      <c r="N7" s="25"/>
      <c r="P7" s="25"/>
      <c r="Q7" s="49">
        <f t="shared" si="1"/>
        <v>319</v>
      </c>
      <c r="R7" s="50"/>
      <c r="S7" s="50"/>
      <c r="T7" s="50"/>
      <c r="U7" s="50"/>
      <c r="V7" s="50"/>
      <c r="X7" s="50"/>
      <c r="Y7" s="51"/>
    </row>
    <row r="8">
      <c r="A8" s="41">
        <v>46136.0</v>
      </c>
      <c r="B8" s="26" t="s">
        <v>63</v>
      </c>
      <c r="C8" s="25"/>
      <c r="D8" s="25"/>
      <c r="E8" s="25"/>
      <c r="J8" s="24">
        <v>513.0</v>
      </c>
      <c r="K8" s="24">
        <v>590.0</v>
      </c>
      <c r="L8" s="24">
        <v>552.0</v>
      </c>
      <c r="M8" s="24">
        <v>625.0</v>
      </c>
      <c r="N8" s="24">
        <v>368.0</v>
      </c>
      <c r="P8" s="24">
        <v>610.0</v>
      </c>
      <c r="Q8" s="49">
        <f t="shared" si="1"/>
        <v>543</v>
      </c>
      <c r="R8" s="24">
        <v>675.0</v>
      </c>
      <c r="S8" s="24">
        <v>699.0</v>
      </c>
      <c r="T8" s="24">
        <v>497.0</v>
      </c>
      <c r="U8" s="24">
        <v>626.0</v>
      </c>
      <c r="V8" s="24">
        <v>922.0</v>
      </c>
      <c r="X8" s="24">
        <v>917.0</v>
      </c>
      <c r="Y8" s="47">
        <f t="shared" ref="Y8:Y33" si="3">AVERAGE(R8:X8)</f>
        <v>722.6666667</v>
      </c>
    </row>
    <row r="9">
      <c r="A9" s="41">
        <v>46139.0</v>
      </c>
      <c r="B9" s="26" t="s">
        <v>64</v>
      </c>
      <c r="C9" s="25"/>
      <c r="D9" s="25"/>
      <c r="E9" s="25"/>
      <c r="F9" s="25"/>
      <c r="G9" s="25"/>
      <c r="H9" s="25"/>
      <c r="I9" s="25"/>
      <c r="K9" s="24">
        <v>124.0</v>
      </c>
      <c r="L9" s="24">
        <v>133.0</v>
      </c>
      <c r="M9" s="24">
        <v>171.0</v>
      </c>
      <c r="N9" s="24">
        <v>161.0</v>
      </c>
      <c r="P9" s="24">
        <v>206.0</v>
      </c>
      <c r="Q9" s="49">
        <f t="shared" si="1"/>
        <v>159</v>
      </c>
      <c r="R9" s="24">
        <v>215.0</v>
      </c>
      <c r="S9" s="50"/>
      <c r="T9" s="50"/>
      <c r="U9" s="50"/>
      <c r="V9" s="50"/>
      <c r="X9" s="50"/>
      <c r="Y9" s="47">
        <f t="shared" si="3"/>
        <v>215</v>
      </c>
    </row>
    <row r="10">
      <c r="A10" s="41">
        <v>46139.0</v>
      </c>
      <c r="B10" s="26" t="s">
        <v>65</v>
      </c>
      <c r="C10" s="25"/>
      <c r="D10" s="25"/>
      <c r="E10" s="25"/>
      <c r="F10" s="25"/>
      <c r="G10" s="25"/>
      <c r="H10" s="25"/>
      <c r="I10" s="25"/>
      <c r="K10" s="24">
        <v>207.0</v>
      </c>
      <c r="L10" s="24">
        <v>292.0</v>
      </c>
      <c r="M10" s="24">
        <v>215.0</v>
      </c>
      <c r="N10" s="24">
        <v>106.0</v>
      </c>
      <c r="P10" s="24">
        <v>432.0</v>
      </c>
      <c r="Q10" s="49">
        <f t="shared" si="1"/>
        <v>250.4</v>
      </c>
      <c r="R10" s="24">
        <v>255.0</v>
      </c>
      <c r="S10" s="24">
        <v>284.0</v>
      </c>
      <c r="T10" s="24">
        <v>332.0</v>
      </c>
      <c r="U10" s="24">
        <v>288.0</v>
      </c>
      <c r="V10" s="24">
        <v>242.0</v>
      </c>
      <c r="X10" s="52"/>
      <c r="Y10" s="47">
        <f t="shared" si="3"/>
        <v>280.2</v>
      </c>
    </row>
    <row r="11">
      <c r="A11" s="41">
        <v>46139.0</v>
      </c>
      <c r="B11" s="26" t="s">
        <v>66</v>
      </c>
      <c r="C11" s="25"/>
      <c r="D11" s="25"/>
      <c r="E11" s="25"/>
      <c r="F11" s="25"/>
      <c r="G11" s="25"/>
      <c r="H11" s="25"/>
      <c r="I11" s="25"/>
      <c r="K11" s="24">
        <v>230.0</v>
      </c>
      <c r="L11" s="24">
        <v>235.0</v>
      </c>
      <c r="M11" s="24">
        <v>158.0</v>
      </c>
      <c r="N11" s="24">
        <v>276.0</v>
      </c>
      <c r="P11" s="24">
        <v>382.0</v>
      </c>
      <c r="Q11" s="49">
        <f t="shared" si="1"/>
        <v>256.2</v>
      </c>
      <c r="R11" s="24">
        <v>68.0</v>
      </c>
      <c r="S11" s="24">
        <v>434.0</v>
      </c>
      <c r="T11" s="24">
        <v>293.0</v>
      </c>
      <c r="U11" s="24">
        <v>297.0</v>
      </c>
      <c r="V11" s="24">
        <v>444.0</v>
      </c>
      <c r="X11" s="24">
        <v>695.0</v>
      </c>
      <c r="Y11" s="47">
        <f t="shared" si="3"/>
        <v>371.8333333</v>
      </c>
    </row>
    <row r="12">
      <c r="A12" s="41">
        <v>46139.0</v>
      </c>
      <c r="B12" s="26" t="s">
        <v>67</v>
      </c>
      <c r="C12" s="25"/>
      <c r="D12" s="25"/>
      <c r="E12" s="25"/>
      <c r="F12" s="25"/>
      <c r="G12" s="25"/>
      <c r="H12" s="25"/>
      <c r="I12" s="25"/>
      <c r="K12" s="24">
        <v>407.0</v>
      </c>
      <c r="L12" s="24">
        <v>431.0</v>
      </c>
      <c r="M12" s="24">
        <v>445.0</v>
      </c>
      <c r="N12" s="24">
        <v>447.0</v>
      </c>
      <c r="P12" s="24">
        <v>484.0</v>
      </c>
      <c r="Q12" s="49">
        <f t="shared" si="1"/>
        <v>442.8</v>
      </c>
      <c r="R12" s="24">
        <v>554.0</v>
      </c>
      <c r="S12" s="24">
        <v>555.0</v>
      </c>
      <c r="T12" s="24">
        <v>505.0</v>
      </c>
      <c r="U12" s="24">
        <v>381.0</v>
      </c>
      <c r="V12" s="24">
        <v>485.0</v>
      </c>
      <c r="X12" s="24">
        <v>472.0</v>
      </c>
      <c r="Y12" s="47">
        <f t="shared" si="3"/>
        <v>492</v>
      </c>
    </row>
    <row r="13">
      <c r="A13" s="41">
        <v>46139.0</v>
      </c>
      <c r="B13" s="26" t="s">
        <v>68</v>
      </c>
      <c r="C13" s="25"/>
      <c r="D13" s="25"/>
      <c r="E13" s="25"/>
      <c r="F13" s="25"/>
      <c r="G13" s="25"/>
      <c r="H13" s="25"/>
      <c r="I13" s="25"/>
      <c r="J13" s="24">
        <v>116.0</v>
      </c>
      <c r="K13" s="24">
        <v>238.0</v>
      </c>
      <c r="L13" s="24">
        <v>283.0</v>
      </c>
      <c r="M13" s="24">
        <v>265.0</v>
      </c>
      <c r="N13" s="24">
        <v>297.0</v>
      </c>
      <c r="P13" s="24">
        <v>407.0</v>
      </c>
      <c r="Q13" s="49">
        <f t="shared" si="1"/>
        <v>267.6666667</v>
      </c>
      <c r="R13" s="24">
        <v>371.0</v>
      </c>
      <c r="S13" s="24">
        <v>439.0</v>
      </c>
      <c r="T13" s="24">
        <v>308.0</v>
      </c>
      <c r="U13" s="24">
        <v>427.0</v>
      </c>
      <c r="V13" s="24">
        <v>450.0</v>
      </c>
      <c r="X13" s="48" t="s">
        <v>59</v>
      </c>
      <c r="Y13" s="47">
        <f t="shared" si="3"/>
        <v>399</v>
      </c>
    </row>
    <row r="14">
      <c r="A14" s="41">
        <v>46139.0</v>
      </c>
      <c r="B14" s="26" t="s">
        <v>69</v>
      </c>
      <c r="C14" s="25"/>
      <c r="D14" s="25"/>
      <c r="E14" s="25"/>
      <c r="F14" s="25"/>
      <c r="G14" s="25"/>
      <c r="H14" s="25"/>
      <c r="I14" s="25"/>
      <c r="J14" s="24">
        <v>148.0</v>
      </c>
      <c r="K14" s="24">
        <v>353.0</v>
      </c>
      <c r="L14" s="24">
        <v>373.0</v>
      </c>
      <c r="M14" s="24">
        <v>469.0</v>
      </c>
      <c r="N14" s="24">
        <v>390.0</v>
      </c>
      <c r="P14" s="24">
        <v>474.0</v>
      </c>
      <c r="Q14" s="49">
        <f t="shared" si="1"/>
        <v>367.8333333</v>
      </c>
      <c r="R14" s="24">
        <v>436.0</v>
      </c>
      <c r="S14" s="24">
        <v>504.0</v>
      </c>
      <c r="T14" s="24">
        <v>518.0</v>
      </c>
      <c r="U14" s="24">
        <v>462.0</v>
      </c>
      <c r="V14" s="24">
        <v>298.0</v>
      </c>
      <c r="X14" s="24">
        <v>963.0</v>
      </c>
      <c r="Y14" s="47">
        <f t="shared" si="3"/>
        <v>530.1666667</v>
      </c>
    </row>
    <row r="15">
      <c r="A15" s="41">
        <v>46139.0</v>
      </c>
      <c r="B15" s="26" t="s">
        <v>70</v>
      </c>
      <c r="C15" s="25"/>
      <c r="D15" s="25"/>
      <c r="E15" s="25"/>
      <c r="F15" s="25"/>
      <c r="G15" s="25"/>
      <c r="H15" s="25"/>
      <c r="I15" s="25"/>
      <c r="K15" s="24">
        <v>286.0</v>
      </c>
      <c r="L15" s="24">
        <v>339.0</v>
      </c>
      <c r="M15" s="24">
        <v>387.0</v>
      </c>
      <c r="N15" s="48" t="s">
        <v>59</v>
      </c>
      <c r="P15" s="24">
        <v>352.0</v>
      </c>
      <c r="Q15" s="49">
        <f t="shared" si="1"/>
        <v>341</v>
      </c>
      <c r="R15" s="24">
        <v>301.0</v>
      </c>
      <c r="S15" s="53">
        <v>362.0</v>
      </c>
      <c r="T15" s="48" t="s">
        <v>59</v>
      </c>
      <c r="U15" s="50"/>
      <c r="V15" s="50"/>
      <c r="X15" s="52"/>
      <c r="Y15" s="47">
        <f t="shared" si="3"/>
        <v>331.5</v>
      </c>
    </row>
    <row r="16">
      <c r="A16" s="41">
        <v>46142.0</v>
      </c>
      <c r="B16" s="26" t="s">
        <v>71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N16" s="24">
        <v>182.0</v>
      </c>
      <c r="P16" s="24">
        <v>306.0</v>
      </c>
      <c r="Q16" s="49">
        <f t="shared" si="1"/>
        <v>244</v>
      </c>
      <c r="R16" s="24">
        <v>342.0</v>
      </c>
      <c r="S16" s="24">
        <v>384.0</v>
      </c>
      <c r="T16" s="24">
        <v>394.0</v>
      </c>
      <c r="U16" s="24">
        <v>418.0</v>
      </c>
      <c r="V16" s="24">
        <v>513.0</v>
      </c>
      <c r="X16" s="24">
        <v>491.0</v>
      </c>
      <c r="Y16" s="47">
        <f t="shared" si="3"/>
        <v>423.6666667</v>
      </c>
    </row>
    <row r="17">
      <c r="A17" s="41">
        <v>46142.0</v>
      </c>
      <c r="B17" s="26" t="s">
        <v>72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N17" s="24">
        <v>330.0</v>
      </c>
      <c r="P17" s="24">
        <v>180.0</v>
      </c>
      <c r="Q17" s="49">
        <f t="shared" si="1"/>
        <v>255</v>
      </c>
      <c r="R17" s="24">
        <v>289.0</v>
      </c>
      <c r="S17" s="24">
        <v>491.0</v>
      </c>
      <c r="T17" s="24">
        <v>269.0</v>
      </c>
      <c r="U17" s="24">
        <v>495.0</v>
      </c>
      <c r="V17" s="24">
        <v>639.0</v>
      </c>
      <c r="X17" s="24">
        <v>603.0</v>
      </c>
      <c r="Y17" s="47">
        <f t="shared" si="3"/>
        <v>464.3333333</v>
      </c>
    </row>
    <row r="18">
      <c r="A18" s="41">
        <v>46142.0</v>
      </c>
      <c r="B18" s="26" t="s">
        <v>73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N18" s="24">
        <v>148.0</v>
      </c>
      <c r="P18" s="24">
        <v>358.0</v>
      </c>
      <c r="Q18" s="49">
        <f t="shared" si="1"/>
        <v>253</v>
      </c>
      <c r="R18" s="24">
        <v>394.0</v>
      </c>
      <c r="S18" s="24">
        <v>350.0</v>
      </c>
      <c r="T18" s="24">
        <v>469.0</v>
      </c>
      <c r="U18" s="24">
        <v>382.0</v>
      </c>
      <c r="V18" s="24">
        <v>368.0</v>
      </c>
      <c r="X18" s="25"/>
      <c r="Y18" s="47">
        <f t="shared" si="3"/>
        <v>392.6</v>
      </c>
    </row>
    <row r="19">
      <c r="A19" s="41">
        <v>46142.0</v>
      </c>
      <c r="B19" s="26" t="s">
        <v>74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N19" s="24">
        <v>232.0</v>
      </c>
      <c r="P19" s="24">
        <v>259.0</v>
      </c>
      <c r="Q19" s="49">
        <f t="shared" si="1"/>
        <v>245.5</v>
      </c>
      <c r="R19" s="24">
        <v>222.0</v>
      </c>
      <c r="S19" s="24">
        <v>369.0</v>
      </c>
      <c r="T19" s="24">
        <v>240.0</v>
      </c>
      <c r="U19" s="24">
        <v>420.0</v>
      </c>
      <c r="V19" s="24">
        <v>312.0</v>
      </c>
      <c r="X19" s="52"/>
      <c r="Y19" s="47">
        <f t="shared" si="3"/>
        <v>312.6</v>
      </c>
    </row>
    <row r="20">
      <c r="A20" s="41">
        <v>46142.0</v>
      </c>
      <c r="B20" s="26" t="s">
        <v>75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4">
        <v>100.0</v>
      </c>
      <c r="N20" s="24">
        <v>100.0</v>
      </c>
      <c r="P20" s="24">
        <v>349.0</v>
      </c>
      <c r="Q20" s="49">
        <f t="shared" si="1"/>
        <v>183</v>
      </c>
      <c r="R20" s="24">
        <v>51.0</v>
      </c>
      <c r="S20" s="24">
        <v>100.0</v>
      </c>
      <c r="T20" s="24">
        <v>104.0</v>
      </c>
      <c r="U20" s="24">
        <v>100.0</v>
      </c>
      <c r="V20" s="24">
        <v>100.0</v>
      </c>
      <c r="X20" s="24">
        <v>403.0</v>
      </c>
      <c r="Y20" s="47">
        <f t="shared" si="3"/>
        <v>143</v>
      </c>
    </row>
    <row r="21" ht="15.75" customHeight="1">
      <c r="A21" s="41">
        <v>46142.0</v>
      </c>
      <c r="B21" s="26" t="s">
        <v>76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N21" s="24">
        <v>204.0</v>
      </c>
      <c r="P21" s="24">
        <v>318.0</v>
      </c>
      <c r="Q21" s="49">
        <f t="shared" si="1"/>
        <v>261</v>
      </c>
      <c r="R21" s="24">
        <v>371.0</v>
      </c>
      <c r="S21" s="24">
        <v>521.0</v>
      </c>
      <c r="T21" s="24">
        <v>403.0</v>
      </c>
      <c r="U21" s="24">
        <v>576.0</v>
      </c>
      <c r="V21" s="24">
        <v>488.0</v>
      </c>
      <c r="X21" s="24">
        <v>473.0</v>
      </c>
      <c r="Y21" s="47">
        <f t="shared" si="3"/>
        <v>472</v>
      </c>
    </row>
    <row r="22" ht="15.75" customHeight="1">
      <c r="A22" s="41">
        <v>46142.0</v>
      </c>
      <c r="B22" s="26" t="s">
        <v>77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N22" s="24">
        <v>256.0</v>
      </c>
      <c r="P22" s="24">
        <v>287.0</v>
      </c>
      <c r="Q22" s="49">
        <f t="shared" si="1"/>
        <v>271.5</v>
      </c>
      <c r="R22" s="24">
        <v>346.0</v>
      </c>
      <c r="S22" s="24">
        <v>317.0</v>
      </c>
      <c r="T22" s="24">
        <v>457.0</v>
      </c>
      <c r="U22" s="24">
        <v>241.0</v>
      </c>
      <c r="V22" s="24">
        <v>208.0</v>
      </c>
      <c r="X22" s="25"/>
      <c r="Y22" s="47">
        <f t="shared" si="3"/>
        <v>313.8</v>
      </c>
    </row>
    <row r="23" ht="15.75" customHeight="1">
      <c r="A23" s="41">
        <v>46142.0</v>
      </c>
      <c r="B23" s="26" t="s">
        <v>78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N23" s="24">
        <v>210.0</v>
      </c>
      <c r="P23" s="24">
        <v>465.0</v>
      </c>
      <c r="Q23" s="49">
        <f t="shared" si="1"/>
        <v>337.5</v>
      </c>
      <c r="R23" s="24">
        <v>498.0</v>
      </c>
      <c r="S23" s="24">
        <v>471.0</v>
      </c>
      <c r="T23" s="24">
        <v>494.0</v>
      </c>
      <c r="U23" s="24">
        <v>505.0</v>
      </c>
      <c r="V23" s="24">
        <v>445.0</v>
      </c>
      <c r="X23" s="24">
        <v>536.0</v>
      </c>
      <c r="Y23" s="47">
        <f t="shared" si="3"/>
        <v>491.5</v>
      </c>
    </row>
    <row r="24" ht="15.75" customHeight="1">
      <c r="A24" s="41">
        <v>46147.0</v>
      </c>
      <c r="B24" s="26" t="s">
        <v>79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50"/>
      <c r="N24" s="50"/>
      <c r="O24" s="50"/>
      <c r="P24" s="50"/>
      <c r="Q24" s="54"/>
      <c r="R24" s="50"/>
      <c r="S24" s="50"/>
      <c r="T24" s="24">
        <v>80.0</v>
      </c>
      <c r="U24" s="24">
        <v>0.0</v>
      </c>
      <c r="V24" s="24">
        <v>420.0</v>
      </c>
      <c r="X24" s="24">
        <v>510.0</v>
      </c>
      <c r="Y24" s="47">
        <f t="shared" si="3"/>
        <v>252.5</v>
      </c>
    </row>
    <row r="25" ht="15.75" customHeight="1">
      <c r="A25" s="41">
        <v>46147.0</v>
      </c>
      <c r="B25" s="26" t="s">
        <v>80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50"/>
      <c r="N25" s="50"/>
      <c r="O25" s="50"/>
      <c r="P25" s="50"/>
      <c r="Q25" s="54"/>
      <c r="R25" s="50"/>
      <c r="S25" s="50"/>
      <c r="T25" s="24">
        <v>290.0</v>
      </c>
      <c r="U25" s="24">
        <v>414.0</v>
      </c>
      <c r="V25" s="53">
        <v>265.0</v>
      </c>
      <c r="X25" s="24">
        <v>366.0</v>
      </c>
      <c r="Y25" s="47">
        <f t="shared" si="3"/>
        <v>333.75</v>
      </c>
    </row>
    <row r="26" ht="15.75" customHeight="1">
      <c r="A26" s="41">
        <v>46147.0</v>
      </c>
      <c r="B26" s="26" t="s">
        <v>81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50"/>
      <c r="N26" s="50"/>
      <c r="O26" s="50"/>
      <c r="P26" s="50"/>
      <c r="Q26" s="54"/>
      <c r="R26" s="50"/>
      <c r="S26" s="50"/>
      <c r="T26" s="24">
        <v>305.0</v>
      </c>
      <c r="U26" s="24">
        <v>246.0</v>
      </c>
      <c r="V26" s="55"/>
      <c r="X26" s="50"/>
      <c r="Y26" s="47">
        <f t="shared" si="3"/>
        <v>275.5</v>
      </c>
    </row>
    <row r="27" ht="15.75" customHeight="1">
      <c r="A27" s="41">
        <v>46147.0</v>
      </c>
      <c r="B27" s="26" t="s">
        <v>82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50"/>
      <c r="N27" s="50"/>
      <c r="O27" s="50"/>
      <c r="P27" s="50"/>
      <c r="Q27" s="54"/>
      <c r="R27" s="50"/>
      <c r="S27" s="50"/>
      <c r="T27" s="24">
        <v>205.0</v>
      </c>
      <c r="U27" s="24">
        <v>251.0</v>
      </c>
      <c r="V27" s="24">
        <v>250.0</v>
      </c>
      <c r="X27" s="24">
        <v>327.0</v>
      </c>
      <c r="Y27" s="47">
        <f t="shared" si="3"/>
        <v>258.25</v>
      </c>
    </row>
    <row r="28" ht="15.75" customHeight="1">
      <c r="A28" s="41">
        <v>46148.0</v>
      </c>
      <c r="B28" s="26" t="s">
        <v>83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50"/>
      <c r="N28" s="50"/>
      <c r="O28" s="50"/>
      <c r="P28" s="50"/>
      <c r="Q28" s="54"/>
      <c r="R28" s="50"/>
      <c r="S28" s="50"/>
      <c r="T28" s="52"/>
      <c r="U28" s="24">
        <v>296.0</v>
      </c>
      <c r="V28" s="24">
        <v>313.0</v>
      </c>
      <c r="X28" s="24">
        <v>351.0</v>
      </c>
      <c r="Y28" s="47">
        <f t="shared" si="3"/>
        <v>320</v>
      </c>
    </row>
    <row r="29" ht="15.75" customHeight="1">
      <c r="A29" s="41">
        <v>46150.0</v>
      </c>
      <c r="B29" s="26" t="s">
        <v>70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50"/>
      <c r="N29" s="50"/>
      <c r="O29" s="50"/>
      <c r="P29" s="50"/>
      <c r="Q29" s="54"/>
      <c r="R29" s="50"/>
      <c r="S29" s="50"/>
      <c r="T29" s="55"/>
      <c r="U29" s="50"/>
      <c r="V29" s="24">
        <v>78.0</v>
      </c>
      <c r="X29" s="48" t="s">
        <v>59</v>
      </c>
      <c r="Y29" s="47">
        <f t="shared" si="3"/>
        <v>78</v>
      </c>
    </row>
    <row r="30" ht="15.75" customHeight="1">
      <c r="A30" s="41">
        <v>46150.0</v>
      </c>
      <c r="B30" s="26" t="s">
        <v>84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50"/>
      <c r="N30" s="50"/>
      <c r="O30" s="50"/>
      <c r="P30" s="50"/>
      <c r="Q30" s="54"/>
      <c r="R30" s="50"/>
      <c r="S30" s="50"/>
      <c r="T30" s="55"/>
      <c r="U30" s="50"/>
      <c r="V30" s="24">
        <v>357.0</v>
      </c>
      <c r="X30" s="24">
        <v>371.0</v>
      </c>
      <c r="Y30" s="47">
        <f t="shared" si="3"/>
        <v>364</v>
      </c>
    </row>
    <row r="31" ht="15.75" customHeight="1">
      <c r="A31" s="41">
        <v>46150.0</v>
      </c>
      <c r="B31" s="26" t="s">
        <v>85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50"/>
      <c r="N31" s="50"/>
      <c r="O31" s="50"/>
      <c r="P31" s="50"/>
      <c r="Q31" s="54"/>
      <c r="R31" s="50"/>
      <c r="S31" s="50"/>
      <c r="T31" s="55"/>
      <c r="U31" s="50"/>
      <c r="V31" s="24">
        <v>161.0</v>
      </c>
      <c r="X31" s="48" t="s">
        <v>59</v>
      </c>
      <c r="Y31" s="47">
        <f t="shared" si="3"/>
        <v>161</v>
      </c>
    </row>
    <row r="32" ht="15.75" customHeight="1">
      <c r="A32" s="41">
        <v>46150.0</v>
      </c>
      <c r="B32" s="26" t="s">
        <v>86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50"/>
      <c r="N32" s="50"/>
      <c r="O32" s="50"/>
      <c r="P32" s="50"/>
      <c r="Q32" s="54"/>
      <c r="R32" s="50"/>
      <c r="S32" s="50"/>
      <c r="T32" s="55"/>
      <c r="U32" s="50"/>
      <c r="V32" s="24">
        <v>188.0</v>
      </c>
      <c r="X32" s="24">
        <v>419.0</v>
      </c>
      <c r="Y32" s="47">
        <f t="shared" si="3"/>
        <v>303.5</v>
      </c>
    </row>
    <row r="33" ht="15.75" customHeight="1">
      <c r="A33" s="41">
        <v>46150.0</v>
      </c>
      <c r="B33" s="26" t="s">
        <v>87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50"/>
      <c r="N33" s="50"/>
      <c r="O33" s="50"/>
      <c r="P33" s="50"/>
      <c r="Q33" s="54"/>
      <c r="R33" s="50"/>
      <c r="S33" s="50"/>
      <c r="T33" s="55"/>
      <c r="U33" s="50"/>
      <c r="V33" s="24">
        <v>223.0</v>
      </c>
      <c r="X33" s="24">
        <v>419.0</v>
      </c>
      <c r="Y33" s="47">
        <f t="shared" si="3"/>
        <v>321</v>
      </c>
    </row>
    <row r="34" ht="15.75" customHeight="1">
      <c r="A34" s="41"/>
      <c r="B34" s="26"/>
      <c r="C34" s="25"/>
      <c r="D34" s="25"/>
      <c r="E34" s="25"/>
      <c r="Q34" s="49"/>
    </row>
    <row r="35" ht="15.75" customHeight="1">
      <c r="A35" s="56" t="s">
        <v>88</v>
      </c>
      <c r="I35" s="28" t="s">
        <v>89</v>
      </c>
      <c r="J35" s="28"/>
      <c r="K35" s="28"/>
      <c r="L35" s="28"/>
      <c r="M35" s="28"/>
      <c r="N35" s="28"/>
      <c r="O35" s="28"/>
      <c r="P35" s="28"/>
      <c r="Q35" s="28" t="s">
        <v>90</v>
      </c>
      <c r="Y35" s="28" t="s">
        <v>91</v>
      </c>
    </row>
    <row r="36" ht="15.75" customHeight="1">
      <c r="A36" s="57" t="s">
        <v>53</v>
      </c>
      <c r="B36" s="58"/>
      <c r="C36" s="58"/>
      <c r="D36" s="58"/>
      <c r="E36" s="58"/>
      <c r="F36" s="58"/>
      <c r="G36" s="58"/>
      <c r="H36" s="58"/>
      <c r="I36" s="59"/>
      <c r="J36" s="58"/>
      <c r="K36" s="58"/>
      <c r="L36" s="58"/>
      <c r="M36" s="58"/>
      <c r="N36" s="58"/>
      <c r="O36" s="58"/>
      <c r="P36" s="58"/>
      <c r="Q36" s="60">
        <f>AVERAGE(Q3:Q23)</f>
        <v>304.9571429</v>
      </c>
      <c r="R36" s="58"/>
      <c r="S36" s="58"/>
      <c r="T36" s="58"/>
      <c r="U36" s="58"/>
      <c r="V36" s="58"/>
      <c r="W36" s="58"/>
      <c r="X36" s="58"/>
      <c r="Y36" s="60">
        <f>AVERAGE(Y3:Y33)</f>
        <v>349.3955556</v>
      </c>
    </row>
    <row r="37" ht="15.75" customHeight="1">
      <c r="A37" s="61" t="s">
        <v>92</v>
      </c>
      <c r="C37" s="24">
        <v>460.0</v>
      </c>
      <c r="D37" s="24">
        <v>460.0</v>
      </c>
      <c r="E37" s="24">
        <v>460.0</v>
      </c>
      <c r="F37" s="24">
        <v>460.0</v>
      </c>
      <c r="G37" s="24">
        <v>460.0</v>
      </c>
      <c r="H37" s="24">
        <v>460.0</v>
      </c>
      <c r="I37" s="24">
        <v>460.0</v>
      </c>
      <c r="J37" s="24">
        <v>460.0</v>
      </c>
      <c r="K37" s="24">
        <v>460.0</v>
      </c>
      <c r="L37" s="24">
        <v>460.0</v>
      </c>
      <c r="M37" s="24">
        <v>460.0</v>
      </c>
      <c r="N37" s="24">
        <v>460.0</v>
      </c>
      <c r="O37" s="24">
        <v>460.0</v>
      </c>
      <c r="P37" s="24">
        <v>460.0</v>
      </c>
      <c r="Q37" s="24">
        <v>460.0</v>
      </c>
      <c r="R37" s="24">
        <v>460.0</v>
      </c>
      <c r="S37" s="24">
        <v>460.0</v>
      </c>
      <c r="T37" s="24">
        <v>460.0</v>
      </c>
      <c r="U37" s="24">
        <v>460.0</v>
      </c>
      <c r="V37" s="24">
        <v>460.0</v>
      </c>
      <c r="W37" s="24">
        <v>460.0</v>
      </c>
      <c r="X37" s="24">
        <v>460.0</v>
      </c>
      <c r="Y37" s="24">
        <v>460.0</v>
      </c>
    </row>
    <row r="38" ht="15.75" customHeight="1"/>
    <row r="39" ht="15.75" customHeight="1"/>
    <row r="40" ht="46.5" customHeight="1">
      <c r="A40" s="62"/>
      <c r="B40" s="62"/>
      <c r="C40" s="63" t="s">
        <v>93</v>
      </c>
      <c r="D40" s="64"/>
      <c r="E40" s="64"/>
      <c r="F40" s="64"/>
      <c r="G40" s="64"/>
      <c r="H40" s="64"/>
      <c r="I40" s="65" t="s">
        <v>53</v>
      </c>
      <c r="J40" s="64"/>
      <c r="K40" s="64"/>
      <c r="L40" s="64"/>
      <c r="M40" s="64"/>
      <c r="N40" s="64"/>
      <c r="O40" s="64"/>
      <c r="P40" s="64"/>
      <c r="Q40" s="65" t="s">
        <v>53</v>
      </c>
      <c r="R40" s="64"/>
      <c r="S40" s="64"/>
      <c r="T40" s="64"/>
      <c r="U40" s="64"/>
      <c r="V40" s="64"/>
      <c r="W40" s="64"/>
      <c r="X40" s="64"/>
      <c r="Y40" s="65" t="s">
        <v>53</v>
      </c>
      <c r="Z40" s="64"/>
    </row>
    <row r="41" ht="15.75" customHeight="1">
      <c r="A41" s="26" t="s">
        <v>54</v>
      </c>
      <c r="B41" s="26" t="s">
        <v>55</v>
      </c>
      <c r="C41" s="41">
        <v>46133.0</v>
      </c>
      <c r="D41" s="41">
        <v>46134.0</v>
      </c>
      <c r="E41" s="41">
        <v>46135.0</v>
      </c>
      <c r="F41" s="41">
        <v>46136.0</v>
      </c>
      <c r="G41" s="41">
        <v>46137.0</v>
      </c>
      <c r="H41" s="41">
        <v>46138.0</v>
      </c>
      <c r="I41" s="41"/>
      <c r="J41" s="41">
        <v>46139.0</v>
      </c>
      <c r="K41" s="41">
        <v>46140.0</v>
      </c>
      <c r="L41" s="41">
        <v>46141.0</v>
      </c>
      <c r="M41" s="41">
        <v>46142.0</v>
      </c>
      <c r="N41" s="41">
        <v>46143.0</v>
      </c>
      <c r="O41" s="41">
        <v>46144.0</v>
      </c>
      <c r="P41" s="41">
        <v>46145.0</v>
      </c>
      <c r="Q41" s="41"/>
      <c r="R41" s="41">
        <v>46146.0</v>
      </c>
      <c r="S41" s="41">
        <v>46147.0</v>
      </c>
      <c r="T41" s="41">
        <v>46148.0</v>
      </c>
      <c r="U41" s="41">
        <v>46149.0</v>
      </c>
      <c r="V41" s="41">
        <v>46150.0</v>
      </c>
      <c r="W41" s="41">
        <v>46151.0</v>
      </c>
      <c r="X41" s="41">
        <v>46152.0</v>
      </c>
      <c r="Y41" s="41"/>
      <c r="Z41" s="41"/>
    </row>
    <row r="42" ht="15.75" customHeight="1">
      <c r="A42" s="66">
        <v>46133.0</v>
      </c>
      <c r="B42" s="43" t="s">
        <v>94</v>
      </c>
      <c r="C42" s="44">
        <v>100.0</v>
      </c>
      <c r="D42" s="44">
        <v>100.0</v>
      </c>
      <c r="E42" s="44">
        <v>100.0</v>
      </c>
      <c r="F42" s="44">
        <v>100.0</v>
      </c>
      <c r="G42" s="44"/>
      <c r="H42" s="44">
        <v>100.0</v>
      </c>
      <c r="I42" s="67">
        <f t="shared" ref="I42:I48" si="4">AVERAGE(C42:H42)</f>
        <v>100</v>
      </c>
      <c r="J42" s="44">
        <v>100.0</v>
      </c>
      <c r="K42" s="44">
        <v>100.0</v>
      </c>
      <c r="L42" s="44">
        <v>100.0</v>
      </c>
      <c r="M42" s="44">
        <v>100.0</v>
      </c>
      <c r="N42" s="44">
        <v>100.0</v>
      </c>
      <c r="O42" s="44"/>
      <c r="P42" s="44">
        <v>100.0</v>
      </c>
      <c r="Q42" s="67">
        <f t="shared" ref="Q42:Q60" si="5">AVERAGE(J42:P42)</f>
        <v>100</v>
      </c>
      <c r="R42" s="44">
        <v>100.0</v>
      </c>
      <c r="S42" s="44">
        <v>100.0</v>
      </c>
      <c r="T42" s="44">
        <v>100.0</v>
      </c>
      <c r="U42" s="44">
        <v>100.0</v>
      </c>
      <c r="V42" s="44">
        <v>100.0</v>
      </c>
      <c r="X42" s="24">
        <v>100.0</v>
      </c>
      <c r="Y42" s="68">
        <f t="shared" ref="Y42:Y50" si="6">AVERAGE(R42:X42)</f>
        <v>100</v>
      </c>
    </row>
    <row r="43" ht="15.75" customHeight="1">
      <c r="A43" s="69">
        <v>46133.0</v>
      </c>
      <c r="B43" s="26" t="s">
        <v>95</v>
      </c>
      <c r="C43" s="24">
        <v>294.0</v>
      </c>
      <c r="D43" s="24">
        <v>472.0</v>
      </c>
      <c r="E43" s="24">
        <v>407.0</v>
      </c>
      <c r="F43" s="24">
        <v>535.0</v>
      </c>
      <c r="H43" s="24">
        <v>566.0</v>
      </c>
      <c r="I43" s="68">
        <f t="shared" si="4"/>
        <v>454.8</v>
      </c>
      <c r="J43" s="24">
        <v>635.0</v>
      </c>
      <c r="K43" s="24">
        <v>597.0</v>
      </c>
      <c r="L43" s="24">
        <v>454.0</v>
      </c>
      <c r="M43" s="24">
        <v>723.0</v>
      </c>
      <c r="N43" s="24">
        <v>692.0</v>
      </c>
      <c r="P43" s="24">
        <v>549.0</v>
      </c>
      <c r="Q43" s="68">
        <f t="shared" si="5"/>
        <v>608.3333333</v>
      </c>
      <c r="R43" s="24">
        <v>190.0</v>
      </c>
      <c r="S43" s="24">
        <v>167.0</v>
      </c>
      <c r="T43" s="24">
        <v>747.0</v>
      </c>
      <c r="U43" s="24">
        <v>100.0</v>
      </c>
      <c r="V43" s="24">
        <v>208.0</v>
      </c>
      <c r="X43" s="24">
        <v>100.0</v>
      </c>
      <c r="Y43" s="68">
        <f t="shared" si="6"/>
        <v>252</v>
      </c>
    </row>
    <row r="44" ht="15.75" customHeight="1">
      <c r="A44" s="69">
        <v>46136.0</v>
      </c>
      <c r="B44" s="26" t="s">
        <v>96</v>
      </c>
      <c r="C44" s="25"/>
      <c r="D44" s="25"/>
      <c r="E44" s="25"/>
      <c r="F44" s="24">
        <v>293.0</v>
      </c>
      <c r="H44" s="24">
        <v>643.0</v>
      </c>
      <c r="I44" s="68">
        <f t="shared" si="4"/>
        <v>468</v>
      </c>
      <c r="J44" s="24">
        <v>700.0</v>
      </c>
      <c r="K44" s="70" t="s">
        <v>59</v>
      </c>
      <c r="L44" s="24">
        <v>736.0</v>
      </c>
      <c r="M44" s="24">
        <v>799.0</v>
      </c>
      <c r="N44" s="24">
        <v>775.0</v>
      </c>
      <c r="P44" s="70" t="s">
        <v>59</v>
      </c>
      <c r="Q44" s="68">
        <f t="shared" si="5"/>
        <v>752.5</v>
      </c>
      <c r="R44" s="24">
        <v>762.0</v>
      </c>
      <c r="S44" s="24">
        <v>801.0</v>
      </c>
      <c r="T44" s="24">
        <v>847.0</v>
      </c>
      <c r="U44" s="24">
        <v>738.0</v>
      </c>
      <c r="V44" s="24">
        <v>734.0</v>
      </c>
      <c r="X44" s="24">
        <v>752.0</v>
      </c>
      <c r="Y44" s="68">
        <f t="shared" si="6"/>
        <v>772.3333333</v>
      </c>
    </row>
    <row r="45" ht="15.75" customHeight="1">
      <c r="A45" s="69">
        <v>46136.0</v>
      </c>
      <c r="B45" s="26" t="s">
        <v>97</v>
      </c>
      <c r="C45" s="25"/>
      <c r="D45" s="25"/>
      <c r="E45" s="25"/>
      <c r="F45" s="24">
        <v>135.0</v>
      </c>
      <c r="H45" s="24">
        <v>429.0</v>
      </c>
      <c r="I45" s="68">
        <f t="shared" si="4"/>
        <v>282</v>
      </c>
      <c r="J45" s="24">
        <v>504.0</v>
      </c>
      <c r="K45" s="24">
        <v>565.0</v>
      </c>
      <c r="L45" s="24">
        <v>597.0</v>
      </c>
      <c r="M45" s="24">
        <v>594.0</v>
      </c>
      <c r="N45" s="70" t="s">
        <v>59</v>
      </c>
      <c r="P45" s="24">
        <v>354.0</v>
      </c>
      <c r="Q45" s="68">
        <f t="shared" si="5"/>
        <v>522.8</v>
      </c>
      <c r="R45" s="24">
        <v>618.0</v>
      </c>
      <c r="S45" s="24">
        <v>868.0</v>
      </c>
      <c r="T45" s="24">
        <v>818.0</v>
      </c>
      <c r="U45" s="24">
        <v>575.0</v>
      </c>
      <c r="V45" s="24">
        <v>877.0</v>
      </c>
      <c r="X45" s="24">
        <v>940.0</v>
      </c>
      <c r="Y45" s="68">
        <f t="shared" si="6"/>
        <v>782.6666667</v>
      </c>
    </row>
    <row r="46" ht="15.75" customHeight="1">
      <c r="A46" s="69">
        <v>46136.0</v>
      </c>
      <c r="B46" s="26" t="s">
        <v>98</v>
      </c>
      <c r="C46" s="25"/>
      <c r="D46" s="25"/>
      <c r="E46" s="25"/>
      <c r="F46" s="24">
        <v>119.0</v>
      </c>
      <c r="H46" s="24">
        <v>379.0</v>
      </c>
      <c r="I46" s="68">
        <f t="shared" si="4"/>
        <v>249</v>
      </c>
      <c r="J46" s="24">
        <v>620.0</v>
      </c>
      <c r="K46" s="24">
        <v>398.0</v>
      </c>
      <c r="L46" s="24">
        <v>0.0</v>
      </c>
      <c r="M46" s="24">
        <v>234.0</v>
      </c>
      <c r="N46" s="24">
        <v>232.0</v>
      </c>
      <c r="P46" s="24">
        <v>0.0</v>
      </c>
      <c r="Q46" s="68">
        <f t="shared" si="5"/>
        <v>247.3333333</v>
      </c>
      <c r="R46" s="24">
        <v>23.0</v>
      </c>
      <c r="S46" s="24">
        <v>430.0</v>
      </c>
      <c r="T46" s="24">
        <v>100.0</v>
      </c>
      <c r="U46" s="24">
        <v>297.0</v>
      </c>
      <c r="V46" s="24">
        <v>40.0</v>
      </c>
      <c r="X46" s="24">
        <v>100.0</v>
      </c>
      <c r="Y46" s="68">
        <f t="shared" si="6"/>
        <v>165</v>
      </c>
    </row>
    <row r="47" ht="15.75" customHeight="1">
      <c r="A47" s="69">
        <v>46136.0</v>
      </c>
      <c r="B47" s="26" t="s">
        <v>99</v>
      </c>
      <c r="C47" s="25"/>
      <c r="D47" s="25"/>
      <c r="E47" s="25"/>
      <c r="F47" s="24">
        <v>121.0</v>
      </c>
      <c r="H47" s="24">
        <v>334.0</v>
      </c>
      <c r="I47" s="49">
        <f t="shared" si="4"/>
        <v>227.5</v>
      </c>
      <c r="J47" s="24">
        <v>516.0</v>
      </c>
      <c r="K47" s="24">
        <v>655.0</v>
      </c>
      <c r="L47" s="24">
        <v>476.0</v>
      </c>
      <c r="M47" s="24">
        <v>697.0</v>
      </c>
      <c r="N47" s="70" t="s">
        <v>59</v>
      </c>
      <c r="P47" s="24">
        <v>545.0</v>
      </c>
      <c r="Q47" s="68">
        <f t="shared" si="5"/>
        <v>577.8</v>
      </c>
      <c r="R47" s="24">
        <v>587.0</v>
      </c>
      <c r="S47" s="24">
        <v>655.0</v>
      </c>
      <c r="T47" s="24">
        <v>690.0</v>
      </c>
      <c r="U47" s="24">
        <v>953.0</v>
      </c>
      <c r="V47" s="24">
        <v>926.0</v>
      </c>
      <c r="X47" s="24">
        <v>956.0</v>
      </c>
      <c r="Y47" s="68">
        <f t="shared" si="6"/>
        <v>794.5</v>
      </c>
    </row>
    <row r="48" ht="15.75" customHeight="1">
      <c r="A48" s="69">
        <v>46136.0</v>
      </c>
      <c r="B48" s="26" t="s">
        <v>100</v>
      </c>
      <c r="C48" s="25"/>
      <c r="D48" s="25"/>
      <c r="E48" s="25"/>
      <c r="F48" s="24">
        <v>130.0</v>
      </c>
      <c r="H48" s="24">
        <v>335.0</v>
      </c>
      <c r="I48" s="49">
        <f t="shared" si="4"/>
        <v>232.5</v>
      </c>
      <c r="J48" s="24">
        <v>424.0</v>
      </c>
      <c r="K48" s="24">
        <v>584.0</v>
      </c>
      <c r="L48" s="24">
        <v>567.0</v>
      </c>
      <c r="M48" s="24">
        <v>414.0</v>
      </c>
      <c r="N48" s="70" t="s">
        <v>59</v>
      </c>
      <c r="P48" s="24">
        <v>477.0</v>
      </c>
      <c r="Q48" s="68">
        <f t="shared" si="5"/>
        <v>493.2</v>
      </c>
      <c r="R48" s="24">
        <v>607.0</v>
      </c>
      <c r="S48" s="24">
        <v>99.0</v>
      </c>
      <c r="T48" s="24">
        <v>127.0</v>
      </c>
      <c r="U48" s="24">
        <v>844.0</v>
      </c>
      <c r="V48" s="24">
        <v>807.0</v>
      </c>
      <c r="X48" s="24">
        <v>424.0</v>
      </c>
      <c r="Y48" s="68">
        <f t="shared" si="6"/>
        <v>484.6666667</v>
      </c>
    </row>
    <row r="49" ht="15.75" customHeight="1">
      <c r="A49" s="53" t="s">
        <v>101</v>
      </c>
      <c r="B49" s="26" t="s">
        <v>102</v>
      </c>
      <c r="C49" s="25"/>
      <c r="D49" s="25"/>
      <c r="E49" s="25"/>
      <c r="F49" s="25"/>
      <c r="G49" s="25"/>
      <c r="H49" s="25"/>
      <c r="I49" s="25"/>
      <c r="J49" s="24">
        <v>132.0</v>
      </c>
      <c r="K49" s="24">
        <v>475.0</v>
      </c>
      <c r="L49" s="24">
        <v>532.0</v>
      </c>
      <c r="M49" s="24">
        <v>620.0</v>
      </c>
      <c r="N49" s="24">
        <v>708.0</v>
      </c>
      <c r="P49" s="24">
        <v>733.0</v>
      </c>
      <c r="Q49" s="68">
        <f t="shared" si="5"/>
        <v>533.3333333</v>
      </c>
      <c r="R49" s="24">
        <v>796.0</v>
      </c>
      <c r="S49" s="24">
        <v>760.0</v>
      </c>
      <c r="T49" s="24">
        <v>693.0</v>
      </c>
      <c r="U49" s="24">
        <v>794.0</v>
      </c>
      <c r="V49" s="24">
        <v>706.0</v>
      </c>
      <c r="X49" s="24">
        <v>674.0</v>
      </c>
      <c r="Y49" s="68">
        <f t="shared" si="6"/>
        <v>737.1666667</v>
      </c>
    </row>
    <row r="50" ht="15.75" customHeight="1">
      <c r="A50" s="53" t="s">
        <v>101</v>
      </c>
      <c r="B50" s="26" t="s">
        <v>103</v>
      </c>
      <c r="C50" s="25"/>
      <c r="D50" s="25"/>
      <c r="E50" s="25"/>
      <c r="F50" s="25"/>
      <c r="G50" s="25"/>
      <c r="H50" s="25"/>
      <c r="I50" s="25"/>
      <c r="J50" s="24">
        <v>218.0</v>
      </c>
      <c r="K50" s="24">
        <v>401.0</v>
      </c>
      <c r="L50" s="24">
        <v>435.0</v>
      </c>
      <c r="M50" s="24">
        <v>502.0</v>
      </c>
      <c r="N50" s="24">
        <v>620.0</v>
      </c>
      <c r="P50" s="24">
        <v>562.0</v>
      </c>
      <c r="Q50" s="68">
        <f t="shared" si="5"/>
        <v>456.3333333</v>
      </c>
      <c r="R50" s="24">
        <v>743.0</v>
      </c>
      <c r="S50" s="24">
        <v>706.0</v>
      </c>
      <c r="T50" s="24">
        <v>634.0</v>
      </c>
      <c r="U50" s="24">
        <v>653.0</v>
      </c>
      <c r="V50" s="24">
        <v>638.0</v>
      </c>
      <c r="X50" s="70" t="s">
        <v>59</v>
      </c>
      <c r="Y50" s="68">
        <f t="shared" si="6"/>
        <v>674.8</v>
      </c>
    </row>
    <row r="51" ht="15.75" customHeight="1">
      <c r="A51" s="53" t="s">
        <v>101</v>
      </c>
      <c r="B51" s="26" t="s">
        <v>104</v>
      </c>
      <c r="C51" s="25"/>
      <c r="D51" s="25"/>
      <c r="E51" s="25"/>
      <c r="F51" s="25"/>
      <c r="G51" s="25"/>
      <c r="H51" s="25"/>
      <c r="I51" s="25"/>
      <c r="J51" s="24">
        <v>235.0</v>
      </c>
      <c r="K51" s="24">
        <v>541.0</v>
      </c>
      <c r="L51" s="25"/>
      <c r="M51" s="25"/>
      <c r="N51" s="25"/>
      <c r="O51" s="25"/>
      <c r="P51" s="25"/>
      <c r="Q51" s="68">
        <f t="shared" si="5"/>
        <v>388</v>
      </c>
      <c r="R51" s="25"/>
      <c r="S51" s="25"/>
      <c r="T51" s="25"/>
      <c r="U51" s="25"/>
      <c r="V51" s="25"/>
      <c r="X51" s="25"/>
      <c r="Y51" s="68"/>
    </row>
    <row r="52" ht="15.75" customHeight="1">
      <c r="A52" s="53" t="s">
        <v>101</v>
      </c>
      <c r="B52" s="26" t="s">
        <v>105</v>
      </c>
      <c r="C52" s="25"/>
      <c r="D52" s="25"/>
      <c r="E52" s="25"/>
      <c r="F52" s="25"/>
      <c r="G52" s="25"/>
      <c r="H52" s="25"/>
      <c r="I52" s="25"/>
      <c r="J52" s="24">
        <v>182.0</v>
      </c>
      <c r="K52" s="24">
        <v>385.0</v>
      </c>
      <c r="L52" s="25"/>
      <c r="M52" s="25"/>
      <c r="N52" s="25"/>
      <c r="O52" s="25"/>
      <c r="P52" s="25"/>
      <c r="Q52" s="68">
        <f t="shared" si="5"/>
        <v>283.5</v>
      </c>
      <c r="R52" s="25"/>
      <c r="S52" s="25"/>
      <c r="T52" s="25"/>
      <c r="U52" s="25"/>
      <c r="V52" s="25"/>
      <c r="X52" s="25"/>
      <c r="Y52" s="68"/>
    </row>
    <row r="53" ht="15.75" customHeight="1">
      <c r="A53" s="69">
        <v>46142.0</v>
      </c>
      <c r="B53" s="26" t="s">
        <v>106</v>
      </c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4">
        <v>80.0</v>
      </c>
      <c r="N53" s="24">
        <v>276.0</v>
      </c>
      <c r="P53" s="24">
        <v>305.0</v>
      </c>
      <c r="Q53" s="68">
        <f t="shared" si="5"/>
        <v>220.3333333</v>
      </c>
      <c r="R53" s="24">
        <v>320.0</v>
      </c>
      <c r="S53" s="24">
        <v>222.0</v>
      </c>
      <c r="T53" s="25"/>
      <c r="U53" s="25"/>
      <c r="V53" s="25"/>
      <c r="X53" s="25"/>
      <c r="Y53" s="68">
        <f t="shared" ref="Y53:Y68" si="7">AVERAGE(R53:X53)</f>
        <v>271</v>
      </c>
    </row>
    <row r="54" ht="15.75" customHeight="1">
      <c r="A54" s="69">
        <v>46142.0</v>
      </c>
      <c r="B54" s="26" t="s">
        <v>107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4">
        <v>7.0</v>
      </c>
      <c r="N54" s="24">
        <v>174.0</v>
      </c>
      <c r="P54" s="24">
        <v>282.0</v>
      </c>
      <c r="Q54" s="68">
        <f t="shared" si="5"/>
        <v>154.3333333</v>
      </c>
      <c r="R54" s="24">
        <v>217.0</v>
      </c>
      <c r="S54" s="24">
        <v>139.0</v>
      </c>
      <c r="T54" s="25"/>
      <c r="U54" s="25"/>
      <c r="V54" s="25"/>
      <c r="X54" s="25"/>
      <c r="Y54" s="68">
        <f t="shared" si="7"/>
        <v>178</v>
      </c>
    </row>
    <row r="55" ht="15.75" customHeight="1">
      <c r="A55" s="69">
        <v>46142.0</v>
      </c>
      <c r="B55" s="26" t="s">
        <v>108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4">
        <v>79.0</v>
      </c>
      <c r="N55" s="24">
        <v>346.0</v>
      </c>
      <c r="P55" s="24">
        <v>324.0</v>
      </c>
      <c r="Q55" s="68">
        <f t="shared" si="5"/>
        <v>249.6666667</v>
      </c>
      <c r="R55" s="24">
        <v>353.0</v>
      </c>
      <c r="S55" s="24">
        <v>380.0</v>
      </c>
      <c r="T55" s="24">
        <v>148.0</v>
      </c>
      <c r="U55" s="25"/>
      <c r="V55" s="25"/>
      <c r="X55" s="25"/>
      <c r="Y55" s="68">
        <f t="shared" si="7"/>
        <v>293.6666667</v>
      </c>
    </row>
    <row r="56" ht="15.75" customHeight="1">
      <c r="A56" s="69">
        <v>46142.0</v>
      </c>
      <c r="B56" s="26" t="s">
        <v>109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4">
        <v>100.0</v>
      </c>
      <c r="N56" s="24">
        <v>450.0</v>
      </c>
      <c r="P56" s="24">
        <v>476.0</v>
      </c>
      <c r="Q56" s="68">
        <f t="shared" si="5"/>
        <v>342</v>
      </c>
      <c r="R56" s="24">
        <v>578.0</v>
      </c>
      <c r="S56" s="24">
        <v>486.0</v>
      </c>
      <c r="T56" s="24">
        <v>569.0</v>
      </c>
      <c r="U56" s="24">
        <v>683.0</v>
      </c>
      <c r="V56" s="24">
        <v>847.0</v>
      </c>
      <c r="X56" s="24">
        <v>638.0</v>
      </c>
      <c r="Y56" s="68">
        <f t="shared" si="7"/>
        <v>633.5</v>
      </c>
    </row>
    <row r="57" ht="15.75" customHeight="1">
      <c r="A57" s="69">
        <v>46142.0</v>
      </c>
      <c r="B57" s="26" t="s">
        <v>110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4">
        <v>45.0</v>
      </c>
      <c r="N57" s="24">
        <v>341.0</v>
      </c>
      <c r="P57" s="24">
        <v>372.0</v>
      </c>
      <c r="Q57" s="68">
        <f t="shared" si="5"/>
        <v>252.6666667</v>
      </c>
      <c r="R57" s="24">
        <v>447.0</v>
      </c>
      <c r="S57" s="24">
        <v>509.0</v>
      </c>
      <c r="T57" s="24">
        <v>529.0</v>
      </c>
      <c r="U57" s="24">
        <v>473.0</v>
      </c>
      <c r="V57" s="24">
        <v>473.0</v>
      </c>
      <c r="X57" s="24">
        <v>490.0</v>
      </c>
      <c r="Y57" s="68">
        <f t="shared" si="7"/>
        <v>486.8333333</v>
      </c>
    </row>
    <row r="58" ht="15.75" customHeight="1">
      <c r="A58" s="69">
        <v>46142.0</v>
      </c>
      <c r="B58" s="26" t="s">
        <v>111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4">
        <v>50.0</v>
      </c>
      <c r="N58" s="24">
        <v>389.0</v>
      </c>
      <c r="P58" s="24">
        <v>305.0</v>
      </c>
      <c r="Q58" s="68">
        <f t="shared" si="5"/>
        <v>248</v>
      </c>
      <c r="R58" s="24">
        <v>550.0</v>
      </c>
      <c r="S58" s="24">
        <v>606.0</v>
      </c>
      <c r="T58" s="24">
        <v>570.0</v>
      </c>
      <c r="U58" s="24">
        <v>639.0</v>
      </c>
      <c r="V58" s="24">
        <v>697.0</v>
      </c>
      <c r="X58" s="24">
        <v>617.0</v>
      </c>
      <c r="Y58" s="68">
        <f t="shared" si="7"/>
        <v>613.1666667</v>
      </c>
    </row>
    <row r="59" ht="15.75" customHeight="1">
      <c r="A59" s="69">
        <v>46142.0</v>
      </c>
      <c r="B59" s="26" t="s">
        <v>112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4">
        <v>64.0</v>
      </c>
      <c r="N59" s="24">
        <v>279.0</v>
      </c>
      <c r="P59" s="24">
        <v>398.0</v>
      </c>
      <c r="Q59" s="68">
        <f t="shared" si="5"/>
        <v>247</v>
      </c>
      <c r="R59" s="24">
        <v>543.0</v>
      </c>
      <c r="S59" s="24">
        <v>518.0</v>
      </c>
      <c r="T59" s="24">
        <v>524.0</v>
      </c>
      <c r="U59" s="24">
        <v>542.0</v>
      </c>
      <c r="V59" s="24">
        <v>600.0</v>
      </c>
      <c r="X59" s="24">
        <v>377.0</v>
      </c>
      <c r="Y59" s="68">
        <f t="shared" si="7"/>
        <v>517.3333333</v>
      </c>
    </row>
    <row r="60" ht="15.75" customHeight="1">
      <c r="A60" s="69">
        <v>46142.0</v>
      </c>
      <c r="B60" s="26" t="s">
        <v>113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4">
        <v>179.0</v>
      </c>
      <c r="N60" s="24">
        <v>639.0</v>
      </c>
      <c r="P60" s="24">
        <v>620.0</v>
      </c>
      <c r="Q60" s="49">
        <f t="shared" si="5"/>
        <v>479.3333333</v>
      </c>
      <c r="R60" s="24">
        <v>819.0</v>
      </c>
      <c r="S60" s="24">
        <v>934.0</v>
      </c>
      <c r="T60" s="24">
        <v>781.0</v>
      </c>
      <c r="U60" s="71">
        <v>1081.0</v>
      </c>
      <c r="V60" s="24">
        <v>1042.0</v>
      </c>
      <c r="X60" s="24">
        <v>771.0</v>
      </c>
      <c r="Y60" s="68">
        <f t="shared" si="7"/>
        <v>904.6666667</v>
      </c>
    </row>
    <row r="61" ht="15.75" customHeight="1">
      <c r="A61" s="69">
        <v>46147.0</v>
      </c>
      <c r="B61" s="26" t="s">
        <v>114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72"/>
      <c r="R61" s="25"/>
      <c r="S61" s="24">
        <v>170.0</v>
      </c>
      <c r="T61" s="24">
        <v>437.0</v>
      </c>
      <c r="U61" s="24">
        <v>467.0</v>
      </c>
      <c r="V61" s="24">
        <v>547.0</v>
      </c>
      <c r="X61" s="24">
        <v>612.0</v>
      </c>
      <c r="Y61" s="68">
        <f t="shared" si="7"/>
        <v>446.6</v>
      </c>
    </row>
    <row r="62" ht="15.75" customHeight="1">
      <c r="A62" s="69">
        <v>46147.0</v>
      </c>
      <c r="B62" s="26" t="s">
        <v>115</v>
      </c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72"/>
      <c r="R62" s="25"/>
      <c r="S62" s="24">
        <v>362.0</v>
      </c>
      <c r="T62" s="24">
        <v>707.0</v>
      </c>
      <c r="U62" s="24">
        <v>707.0</v>
      </c>
      <c r="V62" s="24">
        <v>737.0</v>
      </c>
      <c r="X62" s="24">
        <v>725.0</v>
      </c>
      <c r="Y62" s="68">
        <f t="shared" si="7"/>
        <v>647.6</v>
      </c>
    </row>
    <row r="63" ht="15.75" customHeight="1">
      <c r="A63" s="69">
        <v>46148.0</v>
      </c>
      <c r="B63" s="26" t="s">
        <v>106</v>
      </c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72"/>
      <c r="R63" s="25"/>
      <c r="S63" s="25"/>
      <c r="T63" s="24">
        <v>98.0</v>
      </c>
      <c r="U63" s="24">
        <v>395.0</v>
      </c>
      <c r="V63" s="24">
        <v>481.0</v>
      </c>
      <c r="X63" s="24">
        <v>544.0</v>
      </c>
      <c r="Y63" s="68">
        <f t="shared" si="7"/>
        <v>379.5</v>
      </c>
    </row>
    <row r="64" ht="15.75" customHeight="1">
      <c r="A64" s="69">
        <v>46148.0</v>
      </c>
      <c r="B64" s="26" t="s">
        <v>107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72"/>
      <c r="R64" s="25"/>
      <c r="S64" s="24">
        <v>139.0</v>
      </c>
      <c r="T64" s="24">
        <v>161.0</v>
      </c>
      <c r="U64" s="24">
        <v>690.0</v>
      </c>
      <c r="V64" s="24">
        <v>772.0</v>
      </c>
      <c r="X64" s="24">
        <v>1162.0</v>
      </c>
      <c r="Y64" s="68">
        <f t="shared" si="7"/>
        <v>584.8</v>
      </c>
    </row>
    <row r="65" ht="15.75" customHeight="1">
      <c r="A65" s="69">
        <v>46150.0</v>
      </c>
      <c r="B65" s="26" t="s">
        <v>116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72"/>
      <c r="R65" s="25"/>
      <c r="S65" s="25"/>
      <c r="T65" s="25"/>
      <c r="U65" s="25"/>
      <c r="V65" s="24">
        <v>285.0</v>
      </c>
      <c r="X65" s="24">
        <v>552.0</v>
      </c>
      <c r="Y65" s="68">
        <f t="shared" si="7"/>
        <v>418.5</v>
      </c>
    </row>
    <row r="66" ht="15.75" customHeight="1">
      <c r="A66" s="69">
        <v>46150.0</v>
      </c>
      <c r="B66" s="26" t="s">
        <v>117</v>
      </c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72"/>
      <c r="R66" s="25"/>
      <c r="S66" s="25"/>
      <c r="T66" s="25"/>
      <c r="U66" s="25"/>
      <c r="V66" s="24">
        <v>184.0</v>
      </c>
      <c r="X66" s="24">
        <v>502.0</v>
      </c>
      <c r="Y66" s="68">
        <f t="shared" si="7"/>
        <v>343</v>
      </c>
    </row>
    <row r="67" ht="15.75" customHeight="1">
      <c r="A67" s="69">
        <v>46150.0</v>
      </c>
      <c r="B67" s="26" t="s">
        <v>118</v>
      </c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72"/>
      <c r="R67" s="25"/>
      <c r="S67" s="25"/>
      <c r="T67" s="25"/>
      <c r="U67" s="25"/>
      <c r="V67" s="24">
        <v>255.0</v>
      </c>
      <c r="X67" s="24">
        <v>418.0</v>
      </c>
      <c r="Y67" s="68">
        <f t="shared" si="7"/>
        <v>336.5</v>
      </c>
    </row>
    <row r="68" ht="15.75" customHeight="1">
      <c r="A68" s="69">
        <v>46150.0</v>
      </c>
      <c r="B68" s="26" t="s">
        <v>119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72"/>
      <c r="R68" s="25"/>
      <c r="S68" s="25"/>
      <c r="T68" s="25"/>
      <c r="U68" s="25"/>
      <c r="V68" s="24">
        <v>154.0</v>
      </c>
      <c r="X68" s="24">
        <v>592.0</v>
      </c>
      <c r="Y68" s="68">
        <f t="shared" si="7"/>
        <v>373</v>
      </c>
    </row>
    <row r="69" ht="15.75" customHeight="1">
      <c r="A69" s="69"/>
      <c r="B69" s="26"/>
      <c r="C69" s="25"/>
      <c r="D69" s="25"/>
      <c r="Q69" s="49"/>
    </row>
    <row r="70" ht="15.75" customHeight="1">
      <c r="A70" s="41"/>
      <c r="B70" s="26"/>
      <c r="Q70" s="49"/>
    </row>
    <row r="71" ht="15.75" customHeight="1">
      <c r="A71" s="41"/>
      <c r="Q71" s="49"/>
    </row>
    <row r="72" ht="15.75" customHeight="1">
      <c r="A72" s="56" t="s">
        <v>88</v>
      </c>
      <c r="I72" s="37" t="s">
        <v>89</v>
      </c>
      <c r="Q72" s="37" t="s">
        <v>90</v>
      </c>
      <c r="Y72" s="37" t="s">
        <v>91</v>
      </c>
    </row>
    <row r="73" ht="30.75" customHeight="1">
      <c r="A73" s="57" t="s">
        <v>53</v>
      </c>
      <c r="B73" s="58"/>
      <c r="C73" s="58"/>
      <c r="D73" s="58"/>
      <c r="E73" s="58"/>
      <c r="F73" s="58"/>
      <c r="G73" s="58"/>
      <c r="H73" s="58"/>
      <c r="I73" s="60">
        <f>AVERAGE(I42:I72)</f>
        <v>287.6857143</v>
      </c>
      <c r="J73" s="58"/>
      <c r="K73" s="58"/>
      <c r="L73" s="58"/>
      <c r="M73" s="58"/>
      <c r="N73" s="58"/>
      <c r="O73" s="58"/>
      <c r="P73" s="58"/>
      <c r="Q73" s="60">
        <f>AVERAGE(Q42:Q60)</f>
        <v>376.6561404</v>
      </c>
      <c r="R73" s="58"/>
      <c r="S73" s="58"/>
      <c r="T73" s="58"/>
      <c r="U73" s="58"/>
      <c r="V73" s="58"/>
      <c r="W73" s="58"/>
      <c r="X73" s="58"/>
      <c r="Y73" s="60">
        <f>AVERAGE(Y42:Y68)</f>
        <v>487.632</v>
      </c>
    </row>
    <row r="74" ht="15.75" customHeight="1">
      <c r="A74" s="37" t="s">
        <v>92</v>
      </c>
      <c r="B74" s="28">
        <v>464.0</v>
      </c>
      <c r="C74" s="28">
        <v>464.0</v>
      </c>
      <c r="D74" s="28">
        <v>464.0</v>
      </c>
      <c r="E74" s="28">
        <v>464.0</v>
      </c>
      <c r="F74" s="28">
        <v>464.0</v>
      </c>
      <c r="G74" s="28">
        <v>464.0</v>
      </c>
      <c r="H74" s="28">
        <v>464.0</v>
      </c>
      <c r="I74" s="28">
        <v>464.0</v>
      </c>
      <c r="J74" s="28">
        <v>464.0</v>
      </c>
      <c r="K74" s="28">
        <v>464.0</v>
      </c>
      <c r="L74" s="28">
        <v>464.0</v>
      </c>
      <c r="M74" s="28">
        <v>464.0</v>
      </c>
      <c r="N74" s="28">
        <v>464.0</v>
      </c>
      <c r="O74" s="28">
        <v>464.0</v>
      </c>
      <c r="P74" s="28">
        <v>464.0</v>
      </c>
      <c r="Q74" s="28">
        <v>464.0</v>
      </c>
      <c r="R74" s="28">
        <v>464.0</v>
      </c>
      <c r="S74" s="28">
        <v>464.0</v>
      </c>
      <c r="T74" s="28">
        <v>464.0</v>
      </c>
      <c r="U74" s="28">
        <v>464.0</v>
      </c>
      <c r="V74" s="28">
        <v>464.0</v>
      </c>
      <c r="W74" s="28">
        <v>464.0</v>
      </c>
      <c r="X74" s="28">
        <v>464.0</v>
      </c>
      <c r="Y74" s="28">
        <v>464.0</v>
      </c>
    </row>
    <row r="75" ht="15.75" customHeight="1"/>
    <row r="76" ht="15.75" customHeight="1"/>
    <row r="77" ht="15.75" customHeight="1"/>
    <row r="78" ht="15.75" customHeight="1"/>
    <row r="79" ht="9.75" customHeight="1"/>
    <row r="80" ht="15.75" hidden="1" customHeight="1"/>
    <row r="81" ht="15.75" customHeight="1">
      <c r="M81" s="73" t="s">
        <v>120</v>
      </c>
    </row>
    <row r="82" ht="15.75" customHeight="1">
      <c r="M82" s="74" t="s">
        <v>121</v>
      </c>
    </row>
    <row r="83" ht="15.75" customHeight="1">
      <c r="M83" s="75" t="s">
        <v>122</v>
      </c>
    </row>
    <row r="84" ht="15.75" customHeight="1">
      <c r="M84" s="76" t="s">
        <v>123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3:I8"/>
  </mergeCells>
  <conditionalFormatting sqref="C3:Y33">
    <cfRule type="expression" dxfId="0" priority="1" stopIfTrue="1">
      <formula>AND(ISNUMBER(C3), C3&gt;=432.4)</formula>
    </cfRule>
  </conditionalFormatting>
  <conditionalFormatting sqref="C3:Y33">
    <cfRule type="expression" dxfId="1" priority="2" stopIfTrue="1">
      <formula>AND(ISNUMBER(C3), C3&gt;=368, C3&lt;432.4)</formula>
    </cfRule>
  </conditionalFormatting>
  <conditionalFormatting sqref="C3:Y33">
    <cfRule type="expression" dxfId="2" priority="3" stopIfTrue="1">
      <formula>AND(ISNUMBER(C3), C3&gt;=230, C3&lt;368)</formula>
    </cfRule>
  </conditionalFormatting>
  <conditionalFormatting sqref="C3:Y33">
    <cfRule type="expression" dxfId="3" priority="4" stopIfTrue="1">
      <formula>AND(ISNUMBER(C3), C3&lt;230)</formula>
    </cfRule>
  </conditionalFormatting>
  <conditionalFormatting sqref="C42:Y68">
    <cfRule type="expression" dxfId="0" priority="5" stopIfTrue="1">
      <formula>AND(ISNUMBER(C42), C42&gt;=436.16)</formula>
    </cfRule>
  </conditionalFormatting>
  <conditionalFormatting sqref="C42:Y68">
    <cfRule type="expression" dxfId="1" priority="6" stopIfTrue="1">
      <formula>AND(ISNUMBER(C42), C42&gt;=371.2, C42&lt;436.16)</formula>
    </cfRule>
  </conditionalFormatting>
  <conditionalFormatting sqref="C42:Y68">
    <cfRule type="expression" dxfId="2" priority="7" stopIfTrue="1">
      <formula>AND(ISNUMBER(C42), C42&gt;=232, C42&lt;371.2)</formula>
    </cfRule>
  </conditionalFormatting>
  <conditionalFormatting sqref="C42:Y68">
    <cfRule type="expression" dxfId="3" priority="8" stopIfTrue="1">
      <formula>AND(ISNUMBER(C42), C42&lt;232)</formula>
    </cfRule>
  </conditionalFormatting>
  <printOptions/>
  <pageMargins bottom="0.75" footer="0.0" header="0.0" left="0.7" right="0.7" top="0.75"/>
  <pageSetup paperSize="9" orientation="portrait"/>
  <drawing r:id="rId4"/>
  <legacyDrawing r:id="rId5"/>
</worksheet>
</file>